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FDD2754E-4D63-4F0F-BDA3-6654ACA7DBBA}" xr6:coauthVersionLast="47" xr6:coauthVersionMax="47" xr10:uidLastSave="{00000000-0000-0000-0000-000000000000}"/>
  <bookViews>
    <workbookView xWindow="-120" yWindow="-120" windowWidth="29040" windowHeight="15720" xr2:uid="{509C4B87-4BCC-4BB0-AC18-7D6B349608D3}"/>
  </bookViews>
  <sheets>
    <sheet name="IMPORT" sheetId="1" r:id="rId1"/>
  </sheets>
  <definedNames>
    <definedName name="_xlnm._FilterDatabase" localSheetId="0" hidden="1">IMPORT!$Z$1:$AD$125</definedName>
  </definedNames>
  <calcPr calcId="181029"/>
</workbook>
</file>

<file path=xl/calcChain.xml><?xml version="1.0" encoding="utf-8"?>
<calcChain xmlns="http://schemas.openxmlformats.org/spreadsheetml/2006/main">
  <c r="S22" i="1" l="1"/>
  <c r="S18" i="1"/>
  <c r="S12" i="1"/>
  <c r="Q24" i="1"/>
  <c r="Q23" i="1"/>
  <c r="Q16" i="1"/>
  <c r="BJ23" i="1" l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22" i="1"/>
  <c r="Q26" i="1" l="1"/>
  <c r="Q25" i="1"/>
  <c r="Q6" i="1" l="1"/>
  <c r="X4" i="1"/>
  <c r="X3" i="1"/>
  <c r="X2" i="1"/>
  <c r="Q17" i="1"/>
  <c r="Q2" i="1"/>
  <c r="Q22" i="1"/>
  <c r="Q19" i="1"/>
  <c r="O6" i="1"/>
  <c r="O5" i="1"/>
  <c r="O4" i="1"/>
  <c r="O3" i="1"/>
  <c r="O2" i="1"/>
  <c r="Q13" i="1"/>
  <c r="Q14" i="1"/>
  <c r="Q12" i="1"/>
  <c r="Q11" i="1"/>
  <c r="Q10" i="1"/>
  <c r="Q9" i="1"/>
  <c r="Q3" i="1"/>
  <c r="S4" i="1" l="1"/>
  <c r="S8" i="1"/>
  <c r="S6" i="1"/>
  <c r="S5" i="1"/>
  <c r="S23" i="1"/>
  <c r="S17" i="1"/>
  <c r="U3" i="1"/>
  <c r="U6" i="1"/>
  <c r="U8" i="1"/>
  <c r="U23" i="1"/>
  <c r="U17" i="1"/>
  <c r="W26" i="1"/>
  <c r="W11" i="1"/>
  <c r="W9" i="1"/>
  <c r="W24" i="1"/>
  <c r="W18" i="1"/>
  <c r="W19" i="1"/>
  <c r="U18" i="1"/>
  <c r="Q21" i="1"/>
  <c r="Q20" i="1" s="1"/>
  <c r="S3" i="1"/>
  <c r="S2" i="1"/>
  <c r="U4" i="1"/>
  <c r="W3" i="1"/>
  <c r="W4" i="1"/>
  <c r="U7" i="1"/>
  <c r="S25" i="1"/>
  <c r="U9" i="1"/>
  <c r="S10" i="1"/>
  <c r="U1" i="1"/>
  <c r="W8" i="1"/>
  <c r="U11" i="1"/>
  <c r="W2" i="1"/>
  <c r="U24" i="1"/>
  <c r="U5" i="1"/>
  <c r="U20" i="1"/>
  <c r="U25" i="1"/>
  <c r="U19" i="1"/>
  <c r="U15" i="1"/>
  <c r="W5" i="1"/>
  <c r="S13" i="1"/>
  <c r="W7" i="1"/>
  <c r="U12" i="1"/>
  <c r="W15" i="1"/>
  <c r="W16" i="1"/>
  <c r="U16" i="1"/>
  <c r="U10" i="1"/>
  <c r="S7" i="1"/>
  <c r="S16" i="1"/>
  <c r="U14" i="1"/>
  <c r="W17" i="1"/>
  <c r="S21" i="1"/>
  <c r="W12" i="1"/>
  <c r="U21" i="1"/>
  <c r="W1" i="1"/>
  <c r="S24" i="1"/>
  <c r="W13" i="1"/>
  <c r="U22" i="1"/>
  <c r="W20" i="1"/>
  <c r="S19" i="1"/>
  <c r="W21" i="1"/>
  <c r="W22" i="1"/>
  <c r="S9" i="1"/>
  <c r="W23" i="1"/>
  <c r="U13" i="1"/>
  <c r="U2" i="1"/>
  <c r="W10" i="1"/>
  <c r="W6" i="1"/>
  <c r="W25" i="1"/>
  <c r="S14" i="1"/>
  <c r="W14" i="1"/>
  <c r="S11" i="1"/>
  <c r="S15" i="1"/>
  <c r="S1" i="1"/>
  <c r="S20" i="1"/>
</calcChain>
</file>

<file path=xl/sharedStrings.xml><?xml version="1.0" encoding="utf-8"?>
<sst xmlns="http://schemas.openxmlformats.org/spreadsheetml/2006/main" count="2397" uniqueCount="1092">
  <si>
    <t>ILOSC</t>
  </si>
  <si>
    <t>MODEL</t>
  </si>
  <si>
    <t>KOLOR</t>
  </si>
  <si>
    <t>KOLOR_DODATKOWY</t>
  </si>
  <si>
    <t>KOLOR_SYSTE</t>
  </si>
  <si>
    <t>SZEROKOSC</t>
  </si>
  <si>
    <t>WYSOKOSC</t>
  </si>
  <si>
    <t>STEROWANIE</t>
  </si>
  <si>
    <t>STRONA_STEROWANIA</t>
  </si>
  <si>
    <t>MOTOR</t>
  </si>
  <si>
    <t>ZASILANIE</t>
  </si>
  <si>
    <t>PILOT</t>
  </si>
  <si>
    <t>AUTOMATYKA</t>
  </si>
  <si>
    <t>KOLOR_STEROWANIA</t>
  </si>
  <si>
    <t>STEROWANIE_ELEKTRYCZNE</t>
  </si>
  <si>
    <t>STRONA_LADOWANIA</t>
  </si>
  <si>
    <t>STRONA_WYJSCIA_PRZEWODU</t>
  </si>
  <si>
    <t>OCHRONA_CHILD_SAFETY</t>
  </si>
  <si>
    <t>WYSOKOSC_MONTAZU</t>
  </si>
  <si>
    <t>DLUGOSC_STER</t>
  </si>
  <si>
    <t>MONTAZ</t>
  </si>
  <si>
    <t>DODATKI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</si>
  <si>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</si>
  <si>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</si>
  <si>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</si>
  <si>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</si>
  <si>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</si>
  <si>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</si>
  <si>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</si>
  <si>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</si>
  <si>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</si>
  <si>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</si>
  <si>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</si>
  <si>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</si>
  <si>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</si>
  <si>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B</t>
  </si>
  <si>
    <t>L</t>
  </si>
  <si>
    <t>MONT_H</t>
  </si>
  <si>
    <t>CS</t>
  </si>
  <si>
    <t>MT</t>
  </si>
  <si>
    <t>EL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</si>
  <si>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</si>
  <si>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</si>
  <si>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</si>
  <si>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</si>
  <si>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</si>
  <si>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</si>
  <si>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</si>
  <si>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</si>
  <si>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</si>
  <si>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</si>
  <si>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</si>
  <si>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</si>
  <si>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</si>
  <si>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</si>
  <si>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</si>
  <si>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</si>
  <si>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Rej</t>
  </si>
  <si>
    <t>Poz</t>
  </si>
  <si>
    <t>Nagłówek</t>
  </si>
  <si>
    <t>Pozycja</t>
  </si>
  <si>
    <t>Szczecin</t>
  </si>
  <si>
    <t>PL</t>
  </si>
  <si>
    <t>ident</t>
  </si>
  <si>
    <t>uwagi</t>
  </si>
  <si>
    <t>kom</t>
  </si>
  <si>
    <t>odbiorca</t>
  </si>
  <si>
    <t>dealer</t>
  </si>
  <si>
    <t>kooperant</t>
  </si>
  <si>
    <t>sprzedawca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</si>
  <si>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</si>
  <si>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</si>
  <si>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</si>
  <si>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</si>
  <si>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</si>
  <si>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</si>
  <si>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</si>
  <si>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</si>
  <si>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</si>
  <si>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cena_podst</t>
  </si>
  <si>
    <t>rabat_proc</t>
  </si>
  <si>
    <t>rabat</t>
  </si>
  <si>
    <t>cena</t>
  </si>
  <si>
    <t>IDENT</t>
  </si>
  <si>
    <t>-</t>
  </si>
  <si>
    <t>Rodz</t>
  </si>
  <si>
    <t>Model</t>
  </si>
  <si>
    <t>Typ</t>
  </si>
  <si>
    <t>Kolor</t>
  </si>
  <si>
    <t>KolorZam</t>
  </si>
  <si>
    <t>Kolor2</t>
  </si>
  <si>
    <t>KolorZam2</t>
  </si>
  <si>
    <t>KolSyst</t>
  </si>
  <si>
    <t>Bmala</t>
  </si>
  <si>
    <t>Lmala</t>
  </si>
  <si>
    <t>Ster</t>
  </si>
  <si>
    <t>RodzSt</t>
  </si>
  <si>
    <t>Lpok</t>
  </si>
  <si>
    <t>Prow</t>
  </si>
  <si>
    <t>UchG</t>
  </si>
  <si>
    <t>UchD</t>
  </si>
  <si>
    <t>Dodatki</t>
  </si>
  <si>
    <t>Tuba</t>
  </si>
  <si>
    <t>Prod</t>
  </si>
  <si>
    <t>OkMod</t>
  </si>
  <si>
    <t>OkTyp</t>
  </si>
  <si>
    <t>Model-EFOR</t>
  </si>
  <si>
    <t>Model-EFOR-Opis</t>
  </si>
  <si>
    <t>MODEL_PROD</t>
  </si>
  <si>
    <t>43/44/45</t>
  </si>
  <si>
    <t>TYP_PROD</t>
  </si>
  <si>
    <t>VS2</t>
  </si>
  <si>
    <t>VS</t>
  </si>
  <si>
    <t>#43#</t>
  </si>
  <si>
    <t>DF</t>
  </si>
  <si>
    <t>#45#</t>
  </si>
  <si>
    <t>#44#</t>
  </si>
  <si>
    <t>KolorSystemu-EFOR</t>
  </si>
  <si>
    <t>KolorSystemu-EFOR-Opis</t>
  </si>
  <si>
    <t>KOLSYS_PROD</t>
  </si>
  <si>
    <t>KOLSYS_PROD-opis</t>
  </si>
  <si>
    <t>BIAŁY</t>
  </si>
  <si>
    <t>0204-weiß</t>
  </si>
  <si>
    <t>biały</t>
  </si>
  <si>
    <t>organizacja</t>
  </si>
  <si>
    <t>RAMAOKNA_WYS</t>
  </si>
  <si>
    <t>BEZ DODATKOW</t>
  </si>
  <si>
    <t>UK</t>
  </si>
  <si>
    <t>UCHWYT KORBY</t>
  </si>
  <si>
    <t>KORBA</t>
  </si>
  <si>
    <t>PRZEDŁUŻKA</t>
  </si>
  <si>
    <t>PRZEDŁUŻKA ŁAMANA</t>
  </si>
  <si>
    <t>DFC30PLUS</t>
  </si>
  <si>
    <t>DF30</t>
  </si>
  <si>
    <t>DF30PLUS</t>
  </si>
  <si>
    <t>MODEL_DACH</t>
  </si>
  <si>
    <t>RODZAJ_DACH</t>
  </si>
  <si>
    <t>ROZMIAR_DACH</t>
  </si>
  <si>
    <t>KORBA ELEKTRYCZNA</t>
  </si>
  <si>
    <t>KUR125</t>
  </si>
  <si>
    <t>KUR150</t>
  </si>
  <si>
    <t>KUR200</t>
  </si>
  <si>
    <t>KUR250</t>
  </si>
  <si>
    <t>STAB125</t>
  </si>
  <si>
    <t>STAB150</t>
  </si>
  <si>
    <t>STAB200</t>
  </si>
  <si>
    <t>STAB250</t>
  </si>
  <si>
    <t>STABG125</t>
  </si>
  <si>
    <t>STABG150</t>
  </si>
  <si>
    <t>STABG200</t>
  </si>
  <si>
    <t>STABG250</t>
  </si>
  <si>
    <t>STABEL125</t>
  </si>
  <si>
    <t>KOLOR_PROW</t>
  </si>
  <si>
    <t>BIAŁY MAT</t>
  </si>
  <si>
    <t>SZARY MAT</t>
  </si>
  <si>
    <t>KORALIK Z PB wolnowisząca</t>
  </si>
  <si>
    <t>KORALIK wolnowisząca</t>
  </si>
  <si>
    <t>SL_A</t>
  </si>
  <si>
    <t>SL_SCH</t>
  </si>
  <si>
    <t>SL_SIL</t>
  </si>
  <si>
    <t>SL_W</t>
  </si>
  <si>
    <t>SLC_W</t>
  </si>
  <si>
    <t>SLC_SCH</t>
  </si>
  <si>
    <t>SLC_A</t>
  </si>
  <si>
    <t>SLC_SIL</t>
  </si>
  <si>
    <t>ML_W</t>
  </si>
  <si>
    <t>ML_SCH</t>
  </si>
  <si>
    <t>ML_A</t>
  </si>
  <si>
    <t>ML_SIL</t>
  </si>
  <si>
    <t>FL_W</t>
  </si>
  <si>
    <t>FL_SCH</t>
  </si>
  <si>
    <t>FL_A</t>
  </si>
  <si>
    <t>FL_SIL</t>
  </si>
  <si>
    <t>VS2KL_M</t>
  </si>
  <si>
    <t>STABGSLC125</t>
  </si>
  <si>
    <t>STABGSLC150</t>
  </si>
  <si>
    <t>STABGSLC200</t>
  </si>
  <si>
    <t>STABGSLC250</t>
  </si>
  <si>
    <t>Plafond na przedlużke</t>
  </si>
  <si>
    <t>Plafond na korbę</t>
  </si>
  <si>
    <t>F Touch</t>
  </si>
  <si>
    <t>INSTRUKCJA</t>
  </si>
  <si>
    <t>FILM</t>
  </si>
  <si>
    <t>ANTRACYT</t>
  </si>
  <si>
    <t>elektryk Fotodruck</t>
  </si>
  <si>
    <t>FineLine</t>
  </si>
  <si>
    <t>MaxLine</t>
  </si>
  <si>
    <t>SREBRNY ANODOWANY</t>
  </si>
  <si>
    <t>CZARNO-BRĄZOWY MAT</t>
  </si>
  <si>
    <t>SREBRNY SZCZOTKOWANY</t>
  </si>
  <si>
    <t>ANTRACYT MAT</t>
  </si>
  <si>
    <t>ZŁOTY ANODOWANY</t>
  </si>
  <si>
    <t>CZARNY MAT</t>
  </si>
  <si>
    <t>LEWA</t>
  </si>
  <si>
    <t>PRAWA</t>
  </si>
  <si>
    <t>napięty magnetyczny</t>
  </si>
  <si>
    <t>napięty</t>
  </si>
  <si>
    <t>napięty z prowadnicami SL</t>
  </si>
  <si>
    <t>napięty z prowadnicami SLC</t>
  </si>
  <si>
    <t>napięty z prowadnicami KL magnetyczny</t>
  </si>
  <si>
    <t>napięty z prowadnicami KL</t>
  </si>
  <si>
    <t>napięty dzień/noc</t>
  </si>
  <si>
    <t>napięty dzień/noc magnetyczny</t>
  </si>
  <si>
    <t>napięty dzień/noc z prowadnicami SL</t>
  </si>
  <si>
    <t>napięty dzień/noc podwójny</t>
  </si>
  <si>
    <t>wolnowisząca z prowadzeniem bocznym</t>
  </si>
  <si>
    <t>model dachowy z profilem maskującym</t>
  </si>
  <si>
    <t>VS4_L</t>
  </si>
  <si>
    <t>VS4_R</t>
  </si>
  <si>
    <t>VS4S_L</t>
  </si>
  <si>
    <t>VS4S_R</t>
  </si>
  <si>
    <t>VS5_L</t>
  </si>
  <si>
    <t>VS5_R</t>
  </si>
  <si>
    <t>PL30_L</t>
  </si>
  <si>
    <t>VS5SD_L</t>
  </si>
  <si>
    <t>VS5SD_R</t>
  </si>
  <si>
    <t>FSlope2_L</t>
  </si>
  <si>
    <t>FSlope2_R</t>
  </si>
  <si>
    <t>FSlope1_L</t>
  </si>
  <si>
    <t>FSlope1_R</t>
  </si>
  <si>
    <t>PL40_L</t>
  </si>
  <si>
    <t>PL40_R</t>
  </si>
  <si>
    <t>PL41_L</t>
  </si>
  <si>
    <t>PL41_R</t>
  </si>
  <si>
    <t>PL31_L</t>
  </si>
  <si>
    <t>PL31_R</t>
  </si>
  <si>
    <t>PLK31_L</t>
  </si>
  <si>
    <t>PLK31_R</t>
  </si>
  <si>
    <t>PLE31_L</t>
  </si>
  <si>
    <t>PL33_L</t>
  </si>
  <si>
    <t>PL33_R</t>
  </si>
  <si>
    <t>PLE31_R</t>
  </si>
  <si>
    <t>PLK33_L</t>
  </si>
  <si>
    <t>PLK33_R</t>
  </si>
  <si>
    <t>PLE33_L</t>
  </si>
  <si>
    <t>PLE33_R</t>
  </si>
  <si>
    <t>slope1</t>
  </si>
  <si>
    <t>PLAFOND TRAPEZ slope1</t>
  </si>
  <si>
    <t>PLAFOND TROJKĄT slope1</t>
  </si>
  <si>
    <t>PLAFOND slope1 slope1</t>
  </si>
  <si>
    <t>PLAFOND WIELOBOK slope1</t>
  </si>
  <si>
    <t>PLAFOND TRAPEZ KORBA slope2</t>
  </si>
  <si>
    <t>PLAFOND TROJKĄT KORBA slope2</t>
  </si>
  <si>
    <t>PLAFOND TRAPEZ ELEKTRO slope3</t>
  </si>
  <si>
    <t>PLAFOND TROJKĄT ELEKTRO slope3</t>
  </si>
  <si>
    <t>slope4</t>
  </si>
  <si>
    <t>KR</t>
  </si>
  <si>
    <t>KORALIK PRAWA</t>
  </si>
  <si>
    <t>KORALIK LEWA</t>
  </si>
  <si>
    <t>F4W</t>
  </si>
  <si>
    <t>F4S</t>
  </si>
  <si>
    <t>F4SB</t>
  </si>
  <si>
    <t>F4A</t>
  </si>
  <si>
    <t>SREBRNY</t>
  </si>
  <si>
    <t>CZARNO-BRĄZ</t>
  </si>
  <si>
    <t>model dachowy z aluminiowymi prowadnicami</t>
  </si>
  <si>
    <t>T</t>
  </si>
  <si>
    <t>Somfy zasilacz DC 12V</t>
  </si>
  <si>
    <t>Somfy zasilacz DC 24V 1,5A</t>
  </si>
  <si>
    <t>Somfy zasilacz DC 24V 2,7A</t>
  </si>
  <si>
    <t>VS2_M</t>
  </si>
  <si>
    <t>VS2DOUBLE_M</t>
  </si>
  <si>
    <t>VS2DOUBLE</t>
  </si>
  <si>
    <t>VS3_M</t>
  </si>
  <si>
    <t>FotoVS2SL</t>
  </si>
  <si>
    <t>FotoVS2_M</t>
  </si>
  <si>
    <t>FotoVS2KL</t>
  </si>
  <si>
    <t>FotoVS2</t>
  </si>
  <si>
    <t>FotoFE</t>
  </si>
  <si>
    <t>FotoF1SF</t>
  </si>
  <si>
    <t>VS3SD</t>
  </si>
  <si>
    <t>Plafond elektro</t>
  </si>
  <si>
    <t>Fotodruck</t>
  </si>
  <si>
    <t>elektryk</t>
  </si>
  <si>
    <t>wolnowisząca dzień/noc</t>
  </si>
  <si>
    <t>wolnowisząca</t>
  </si>
  <si>
    <t>wolnowisząca top/down</t>
  </si>
  <si>
    <t>&lt;NONE&gt;</t>
  </si>
  <si>
    <t>VS1</t>
  </si>
  <si>
    <t>VS3</t>
  </si>
  <si>
    <t>F1</t>
  </si>
  <si>
    <t>F2</t>
  </si>
  <si>
    <t>E</t>
  </si>
  <si>
    <t>VSSD</t>
  </si>
  <si>
    <t>FE</t>
  </si>
  <si>
    <t>F4</t>
  </si>
  <si>
    <t>PL11</t>
  </si>
  <si>
    <t>PLE12</t>
  </si>
  <si>
    <t>PLK13</t>
  </si>
  <si>
    <t>SR1S</t>
  </si>
  <si>
    <t>FT</t>
  </si>
  <si>
    <t>LINKS</t>
  </si>
  <si>
    <t>R</t>
  </si>
  <si>
    <t>RECHTS</t>
  </si>
  <si>
    <t>VS2FL</t>
  </si>
  <si>
    <t>VS2ML</t>
  </si>
  <si>
    <t>VS2KL</t>
  </si>
  <si>
    <t>VS2SL</t>
  </si>
  <si>
    <t>VS2SLC</t>
  </si>
  <si>
    <t>VS6</t>
  </si>
  <si>
    <t>VS6SD</t>
  </si>
  <si>
    <t>F1SF</t>
  </si>
  <si>
    <t>F3</t>
  </si>
  <si>
    <t>F4SF</t>
  </si>
  <si>
    <t>DF20</t>
  </si>
  <si>
    <t>DFC20</t>
  </si>
  <si>
    <t>DFC30</t>
  </si>
  <si>
    <t>PL32</t>
  </si>
  <si>
    <t>PL32D</t>
  </si>
  <si>
    <t>PLK30</t>
  </si>
  <si>
    <t>PLK32</t>
  </si>
  <si>
    <t>PLE30</t>
  </si>
  <si>
    <t>PLE32</t>
  </si>
  <si>
    <t>PL42</t>
  </si>
  <si>
    <t>KL</t>
  </si>
  <si>
    <t>VS2DOUBLESL</t>
  </si>
  <si>
    <t>F</t>
  </si>
  <si>
    <t>2 M</t>
  </si>
  <si>
    <t>2 SL</t>
  </si>
  <si>
    <t>2 SLC</t>
  </si>
  <si>
    <t>2 KL</t>
  </si>
  <si>
    <t>2 ML</t>
  </si>
  <si>
    <t>2 FL</t>
  </si>
  <si>
    <t>3 M</t>
  </si>
  <si>
    <t>SD</t>
  </si>
  <si>
    <t>1 SF</t>
  </si>
  <si>
    <t>4 SF</t>
  </si>
  <si>
    <t>E12</t>
  </si>
  <si>
    <t>K13</t>
  </si>
  <si>
    <t>5 SD</t>
  </si>
  <si>
    <t>6 SD</t>
  </si>
  <si>
    <t>Slope2</t>
  </si>
  <si>
    <t>Slope1</t>
  </si>
  <si>
    <t>K30</t>
  </si>
  <si>
    <t>Motor-EFOR</t>
  </si>
  <si>
    <t>Motor-EFOR-Opis</t>
  </si>
  <si>
    <t>M_PROD</t>
  </si>
  <si>
    <t>M_PROD-opis</t>
  </si>
  <si>
    <t>P_PROD</t>
  </si>
  <si>
    <t>P_PROD-opis</t>
  </si>
  <si>
    <t>Zasilanie-EFOR</t>
  </si>
  <si>
    <t>Zasilanie-EFOR-Opis</t>
  </si>
  <si>
    <t>P00</t>
  </si>
  <si>
    <t>Pilot-EFOR</t>
  </si>
  <si>
    <t>Pilot-EFOR-Opis</t>
  </si>
  <si>
    <t>R_PROD</t>
  </si>
  <si>
    <t>R_PROD-opis</t>
  </si>
  <si>
    <t>R00</t>
  </si>
  <si>
    <t>Bez silnika</t>
  </si>
  <si>
    <t>M00</t>
  </si>
  <si>
    <t>Automatyka-EFOR</t>
  </si>
  <si>
    <t>Automatyka-EFOR-Opis</t>
  </si>
  <si>
    <t>A_PROD</t>
  </si>
  <si>
    <t>A_PROD-opis</t>
  </si>
  <si>
    <t>A00</t>
  </si>
  <si>
    <t>STRONA_STEROWANIA-EFOR</t>
  </si>
  <si>
    <t>STRONA_STEROWANIA-EFOR-Opis</t>
  </si>
  <si>
    <t>STRONA_LADOWANIA-EFOR</t>
  </si>
  <si>
    <t>STRONA_LADOWANIA-EFOR-Opis</t>
  </si>
  <si>
    <t>STRONA_WYJSCIA_PRZEWODU-EFOR</t>
  </si>
  <si>
    <t>STRONA_WYJSCIA_PRZEWODU-EFOR-Opis</t>
  </si>
  <si>
    <t>DODATKI-EFOR</t>
  </si>
  <si>
    <t>ODATKI-EFOR-Opis</t>
  </si>
  <si>
    <t>MT_PROD</t>
  </si>
  <si>
    <t>MT_PROD-opis</t>
  </si>
  <si>
    <t>ML250</t>
  </si>
  <si>
    <t>ML125</t>
  </si>
  <si>
    <t>ML150</t>
  </si>
  <si>
    <t>ML200</t>
  </si>
  <si>
    <t>MP250</t>
  </si>
  <si>
    <t>MP125</t>
  </si>
  <si>
    <t>MP150</t>
  </si>
  <si>
    <t>MP200</t>
  </si>
  <si>
    <t>Cosiflor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</si>
  <si>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</si>
  <si>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</si>
  <si>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</si>
  <si>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</si>
  <si>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</si>
  <si>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</si>
  <si>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Bucik magnetyczny</t>
  </si>
  <si>
    <t>Bucik zwykły</t>
  </si>
  <si>
    <t>Klips</t>
  </si>
  <si>
    <t>Klips sufitowy</t>
  </si>
  <si>
    <t>Klips na PVC</t>
  </si>
  <si>
    <t>Klips na kątowniku</t>
  </si>
  <si>
    <t>Kątownik</t>
  </si>
  <si>
    <t>Uchwyt PVC</t>
  </si>
  <si>
    <t>Profil klejący SL/SLC</t>
  </si>
  <si>
    <t>Uchwyt Slim</t>
  </si>
  <si>
    <t>Profil klejący KL</t>
  </si>
  <si>
    <t>Płytka klejąca do bucika</t>
  </si>
  <si>
    <t>KLM</t>
  </si>
  <si>
    <t>GW</t>
  </si>
  <si>
    <t>Płytka odsuwająca</t>
  </si>
  <si>
    <t>Na listwe przyszybową</t>
  </si>
  <si>
    <t>CW</t>
  </si>
  <si>
    <t>CD</t>
  </si>
  <si>
    <t>CKT</t>
  </si>
  <si>
    <t>KLIPS F4/EL</t>
  </si>
  <si>
    <t>DFC</t>
  </si>
  <si>
    <t>ML</t>
  </si>
  <si>
    <t>FL</t>
  </si>
  <si>
    <t>MAXLINE</t>
  </si>
  <si>
    <t>FINELINE</t>
  </si>
  <si>
    <t>SPSCH</t>
  </si>
  <si>
    <t>WINK</t>
  </si>
  <si>
    <t>KT</t>
  </si>
  <si>
    <t>KTS</t>
  </si>
  <si>
    <t>GKP</t>
  </si>
  <si>
    <t>MP</t>
  </si>
  <si>
    <t>CLIP</t>
  </si>
  <si>
    <t>SPSCHM</t>
  </si>
  <si>
    <t>MONTAŻ-EFOR</t>
  </si>
  <si>
    <t>UCHG_PROD</t>
  </si>
  <si>
    <t>UCHG_PROD-opis</t>
  </si>
  <si>
    <t>organizacja_kod</t>
  </si>
  <si>
    <t>uzytkownik</t>
  </si>
  <si>
    <t>orderid</t>
  </si>
  <si>
    <t>product</t>
  </si>
  <si>
    <t>orderpos</t>
  </si>
  <si>
    <t>posid</t>
  </si>
  <si>
    <t>product_description</t>
  </si>
  <si>
    <t>OPIS_POZYCJI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</si>
  <si>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</si>
  <si>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</si>
  <si>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</si>
  <si>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</si>
  <si>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</si>
  <si>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</si>
  <si>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</si>
  <si>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</si>
  <si>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</si>
  <si>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Tytuł</t>
  </si>
  <si>
    <t>Widoczny</t>
  </si>
  <si>
    <t>Słownik</t>
  </si>
  <si>
    <t>nazwa</t>
  </si>
  <si>
    <t>cena_info</t>
  </si>
  <si>
    <t>rabat_info</t>
  </si>
  <si>
    <t>liczba</t>
  </si>
  <si>
    <t>ilosc</t>
  </si>
  <si>
    <t>PLISSEE_COSI_VS_F_#43#</t>
  </si>
  <si>
    <t>PLISSEE_COSI_PL#44#</t>
  </si>
  <si>
    <t>PLISSEE_COSI_DF#45#</t>
  </si>
  <si>
    <t>&lt;NULL&gt;</t>
  </si>
  <si>
    <t>M07</t>
  </si>
  <si>
    <t>Coulisse CM-07</t>
  </si>
  <si>
    <t>M70</t>
  </si>
  <si>
    <t>Coulisse CM-07-E</t>
  </si>
  <si>
    <t>M17</t>
  </si>
  <si>
    <t>Somfy Tilt &amp; Lift RTS Central</t>
  </si>
  <si>
    <t>M48</t>
  </si>
  <si>
    <t>Somfy TLW25-WT</t>
  </si>
  <si>
    <t>P01</t>
  </si>
  <si>
    <t>Zasilacz USB-A</t>
  </si>
  <si>
    <t>P06</t>
  </si>
  <si>
    <t>Przewód USB-A do USB-C</t>
  </si>
  <si>
    <t>P03</t>
  </si>
  <si>
    <t>Zasilacz USB-A z przewodem USB-A do USB-C</t>
  </si>
  <si>
    <t>P20</t>
  </si>
  <si>
    <t>Bateria CM-38</t>
  </si>
  <si>
    <t>P23</t>
  </si>
  <si>
    <t>Bateria CM-38 + zasilacz USB-A</t>
  </si>
  <si>
    <t>P24</t>
  </si>
  <si>
    <t>Bateria CM-38 + przewód USB-A do USB-C</t>
  </si>
  <si>
    <t>P25</t>
  </si>
  <si>
    <t>Bateria CM-38 + zasilacz USB-A z przewodem USB-A do USB-C</t>
  </si>
  <si>
    <t>P42</t>
  </si>
  <si>
    <t>Bateria CM-39</t>
  </si>
  <si>
    <t>P45</t>
  </si>
  <si>
    <t>Bateria CM-39 + zasilacz USB-A</t>
  </si>
  <si>
    <t>P46</t>
  </si>
  <si>
    <t>Bateria CM-39 + przewód USB-A do USB-C</t>
  </si>
  <si>
    <t>P47</t>
  </si>
  <si>
    <t>Bateria CM-39 + zasilacz USB-A z przewodem USB-A do USB-C</t>
  </si>
  <si>
    <t>P41</t>
  </si>
  <si>
    <t>Coulisse zasilacz DC 12V (CM-21)</t>
  </si>
  <si>
    <t>P10</t>
  </si>
  <si>
    <t>P11</t>
  </si>
  <si>
    <t>P12</t>
  </si>
  <si>
    <t>R01</t>
  </si>
  <si>
    <t>Coulisse CM-11 (1 kanał)</t>
  </si>
  <si>
    <t>R02</t>
  </si>
  <si>
    <t>Coulisse CM-12 (5 kanałów)</t>
  </si>
  <si>
    <t>R03</t>
  </si>
  <si>
    <t>Coulisse CM-13 (15 kanałów)</t>
  </si>
  <si>
    <t>R04</t>
  </si>
  <si>
    <t>Coulisse CM-16 (4 kanały)</t>
  </si>
  <si>
    <t>R05</t>
  </si>
  <si>
    <t>Coulisse CM-17 (4 kanały)</t>
  </si>
  <si>
    <t>R08</t>
  </si>
  <si>
    <t>Somfy Situo 1 RTS Pure II</t>
  </si>
  <si>
    <t>R09</t>
  </si>
  <si>
    <t>Somfy Situo 5 RTS Pure II</t>
  </si>
  <si>
    <t>R17</t>
  </si>
  <si>
    <t>Somfy Smoove Origin 1 RTS</t>
  </si>
  <si>
    <t>R10</t>
  </si>
  <si>
    <t>Somfy Situo 1 VAR RTS Pure II</t>
  </si>
  <si>
    <t>R11</t>
  </si>
  <si>
    <t>Somfy Situo 5 VAR RTS Pure II</t>
  </si>
  <si>
    <t>A07</t>
  </si>
  <si>
    <t>Coulisse CM-55</t>
  </si>
  <si>
    <t>A02</t>
  </si>
  <si>
    <t>Coulisse CMD-01</t>
  </si>
  <si>
    <t>A04</t>
  </si>
  <si>
    <t>Somfy Tahoma Switch</t>
  </si>
  <si>
    <t>dachowe</t>
  </si>
  <si>
    <t>VS1W</t>
  </si>
  <si>
    <t>VS1PVC</t>
  </si>
  <si>
    <t>Brak</t>
  </si>
  <si>
    <t>ILOŚĆ</t>
  </si>
  <si>
    <t>TYP OKNA</t>
  </si>
  <si>
    <t>MODEL OKNA</t>
  </si>
  <si>
    <t>ROZMIAR OKNA</t>
  </si>
  <si>
    <t>SZEROKOSC [MM]</t>
  </si>
  <si>
    <t>WYSOKOSC [MM]</t>
  </si>
  <si>
    <t>KOLOR TKANINY</t>
  </si>
  <si>
    <t>SZEROKOSC_DACH</t>
  </si>
  <si>
    <t>WYSOKOSC_DACH</t>
  </si>
  <si>
    <t>KOLOR DRUGIEJ TKANINY</t>
  </si>
  <si>
    <t>KOLOR SYSTEMU</t>
  </si>
  <si>
    <t>SZEROKOŚĆ [MM]</t>
  </si>
  <si>
    <t>WYSOKOŚĆ [MM]</t>
  </si>
  <si>
    <t>WYMIAROWANIE_SLOPOW</t>
  </si>
  <si>
    <t>WYMIAROWANIE SKOSÓW</t>
  </si>
  <si>
    <t>STRONA STEROWANIA</t>
  </si>
  <si>
    <t>KOLOR STEROWANIA</t>
  </si>
  <si>
    <t>STEROWANIE ELEKTRYCZNE</t>
  </si>
  <si>
    <t>STRONA ŁADOWANIA</t>
  </si>
  <si>
    <t>STRONA WYJSCIA PRZEWODU</t>
  </si>
  <si>
    <t>CHILD SAFETY</t>
  </si>
  <si>
    <t>WYSOKOŚĆ MONTAŻU [MM]</t>
  </si>
  <si>
    <t>DŁUGOŚĆ STEROWANIA [MM]</t>
  </si>
  <si>
    <t>KOLOR LISTWY KLEJĄCEJ</t>
  </si>
  <si>
    <t>MONTAŻ</t>
  </si>
  <si>
    <t>WYSOKOŚĆ RAMY OKNA [MM]</t>
  </si>
  <si>
    <t>POWIERZCHNIA [m2]</t>
  </si>
  <si>
    <t>9016KL</t>
  </si>
  <si>
    <t>1620KL</t>
  </si>
  <si>
    <t>SLCW</t>
  </si>
  <si>
    <t>BIAŁA</t>
  </si>
  <si>
    <t>SLCG</t>
  </si>
  <si>
    <t>SZARA</t>
  </si>
  <si>
    <t>SLCA</t>
  </si>
  <si>
    <t>SLCS</t>
  </si>
  <si>
    <t>CZARNA</t>
  </si>
  <si>
    <t>KOLOR_PROW-EFOR-Opis</t>
  </si>
  <si>
    <t>KOLOR_PROW-EFOR</t>
  </si>
  <si>
    <t>PROW-PROD-OPIS</t>
  </si>
  <si>
    <t>PROW-PROD</t>
  </si>
  <si>
    <t>brak</t>
  </si>
  <si>
    <t>srebrny</t>
  </si>
  <si>
    <t>RAL</t>
  </si>
  <si>
    <t>buciki</t>
  </si>
  <si>
    <t>S</t>
  </si>
  <si>
    <t>Sufitowy</t>
  </si>
  <si>
    <t>K</t>
  </si>
  <si>
    <t>PCV</t>
  </si>
  <si>
    <t>G</t>
  </si>
  <si>
    <t>G - kątownik do okien PVC</t>
  </si>
  <si>
    <t>KP</t>
  </si>
  <si>
    <t>Klebeplatten</t>
  </si>
  <si>
    <t>Klebeträger</t>
  </si>
  <si>
    <t>Falzfix (biały)</t>
  </si>
  <si>
    <t>PCV-RT</t>
  </si>
  <si>
    <t>PCV dla RT</t>
  </si>
  <si>
    <t>PCV-RR</t>
  </si>
  <si>
    <t>PCV dla Riepera</t>
  </si>
  <si>
    <t>SPlate</t>
  </si>
  <si>
    <t>Sockelplate</t>
  </si>
  <si>
    <t>Falzträger</t>
  </si>
  <si>
    <t>2xD</t>
  </si>
  <si>
    <t>Decketräger x2</t>
  </si>
  <si>
    <t>3xD</t>
  </si>
  <si>
    <t>Decketräger x3</t>
  </si>
  <si>
    <t>4xD</t>
  </si>
  <si>
    <t>Decketräger x4</t>
  </si>
  <si>
    <t>5xD</t>
  </si>
  <si>
    <t>Decketräger x5</t>
  </si>
  <si>
    <t>6xD</t>
  </si>
  <si>
    <t>Decketräger x6</t>
  </si>
  <si>
    <t>7xD</t>
  </si>
  <si>
    <t>Decketräger x7</t>
  </si>
  <si>
    <t>2xK35</t>
  </si>
  <si>
    <t>Wandträger 35mm x2</t>
  </si>
  <si>
    <t>3xK35</t>
  </si>
  <si>
    <t>Wandträger 35mm x3</t>
  </si>
  <si>
    <t>4xK35</t>
  </si>
  <si>
    <t>Wandträger 35mm x4</t>
  </si>
  <si>
    <t>5xK35</t>
  </si>
  <si>
    <t>Wandträger 35mm x5</t>
  </si>
  <si>
    <t>6xK35</t>
  </si>
  <si>
    <t>Wandträger 35mm x6</t>
  </si>
  <si>
    <t>7xK35</t>
  </si>
  <si>
    <t>Wandträger 35mm x7</t>
  </si>
  <si>
    <t>2xK70</t>
  </si>
  <si>
    <t>Wandträger 70mm x2</t>
  </si>
  <si>
    <t>3xK70</t>
  </si>
  <si>
    <t>Wandträger 70mm x3</t>
  </si>
  <si>
    <t>4xK70</t>
  </si>
  <si>
    <t>Wandträger 70mm x4</t>
  </si>
  <si>
    <t>5xK70</t>
  </si>
  <si>
    <t>Wandträger 70mm x5</t>
  </si>
  <si>
    <t>6xK70</t>
  </si>
  <si>
    <t>Wandträger 70mm x6</t>
  </si>
  <si>
    <t>7xK70</t>
  </si>
  <si>
    <t>Wandträger 70mm x7</t>
  </si>
  <si>
    <t>2xPVC</t>
  </si>
  <si>
    <t>Klemmträger 40mm x2</t>
  </si>
  <si>
    <t>3xPVC</t>
  </si>
  <si>
    <t>Klemmträger 40mm x3</t>
  </si>
  <si>
    <t>4xPVC</t>
  </si>
  <si>
    <t>Klemmträger 40mm x4</t>
  </si>
  <si>
    <t>5xPVC</t>
  </si>
  <si>
    <t>Klemmträger 40mm x5</t>
  </si>
  <si>
    <t>6xPVC</t>
  </si>
  <si>
    <t>Klemmträger 40mm x6</t>
  </si>
  <si>
    <t>7xPVC</t>
  </si>
  <si>
    <t>Klemmträger 40mm x7</t>
  </si>
  <si>
    <t>2xS</t>
  </si>
  <si>
    <t>Spanschuh x2</t>
  </si>
  <si>
    <t>3xS</t>
  </si>
  <si>
    <t>Spanschuh x3</t>
  </si>
  <si>
    <t>4xS</t>
  </si>
  <si>
    <t>Spanschuh x4</t>
  </si>
  <si>
    <t>5xS</t>
  </si>
  <si>
    <t>Spanschuh x5</t>
  </si>
  <si>
    <t>6xS</t>
  </si>
  <si>
    <t>Spanschuh x6</t>
  </si>
  <si>
    <t>7xS</t>
  </si>
  <si>
    <t>Spanschuh x7</t>
  </si>
  <si>
    <t>2xK70-S</t>
  </si>
  <si>
    <t>Wandtr.63mm/Spanschuh x2</t>
  </si>
  <si>
    <t>3xK70-S</t>
  </si>
  <si>
    <t>Wandtr.63mm/Spanschuh x3</t>
  </si>
  <si>
    <t>4xK70-S</t>
  </si>
  <si>
    <t>Wandtr.63mm/Spanschuh x4</t>
  </si>
  <si>
    <t>5xK70-S</t>
  </si>
  <si>
    <t>Wandtr.63mm/Spanschuh x5</t>
  </si>
  <si>
    <t>6xK70-S</t>
  </si>
  <si>
    <t>Wandtr.63mm/Spanschuh x6</t>
  </si>
  <si>
    <t>7xK70-S</t>
  </si>
  <si>
    <t>Wandtr.63mm/Spanschuh x7</t>
  </si>
  <si>
    <t>2xPVC-S</t>
  </si>
  <si>
    <t>Klemmtr.40mm/Spanschuh x2</t>
  </si>
  <si>
    <t>3xPVC-S</t>
  </si>
  <si>
    <t>Klemmtr.40mm/Spanschuh x3</t>
  </si>
  <si>
    <t>4xPVC-S</t>
  </si>
  <si>
    <t>Klemmtr.40mm/Spanschuh x4</t>
  </si>
  <si>
    <t>5xPVC-S</t>
  </si>
  <si>
    <t>Klemmtr.40mm/Spanschuh x5</t>
  </si>
  <si>
    <t>6xPVC-S</t>
  </si>
  <si>
    <t>Klemmtr.40mm/Spanschuh x6</t>
  </si>
  <si>
    <t>7xPVC-S</t>
  </si>
  <si>
    <t>Klemmtr.40mm/Spanschuh x7</t>
  </si>
  <si>
    <t>2xW60</t>
  </si>
  <si>
    <t>Wandtr.60-108mm x2</t>
  </si>
  <si>
    <t>3xW60</t>
  </si>
  <si>
    <t>Wandtr.60-108mm x3</t>
  </si>
  <si>
    <t>4xW60</t>
  </si>
  <si>
    <t>Wandtr.60-108mm x4</t>
  </si>
  <si>
    <t>5xW60</t>
  </si>
  <si>
    <t>Wandtr.60-108mm x5</t>
  </si>
  <si>
    <t>6xW60</t>
  </si>
  <si>
    <t>Wandtr.60-108mm x6</t>
  </si>
  <si>
    <t>7xW60</t>
  </si>
  <si>
    <t>Wandtr.60-108mm x7</t>
  </si>
  <si>
    <t>2xK35-S</t>
  </si>
  <si>
    <t>Wandtr.26mm/Spanschuh x2</t>
  </si>
  <si>
    <t>3xK35-S</t>
  </si>
  <si>
    <t>Wandtr.26mm/Spanschuh x3</t>
  </si>
  <si>
    <t>4xK35-S</t>
  </si>
  <si>
    <t>Wandtr.26mm/Spanschuh x4</t>
  </si>
  <si>
    <t>5xK35-S</t>
  </si>
  <si>
    <t>Wandtr.26mm/Spanschuh x5</t>
  </si>
  <si>
    <t>6xK35-S</t>
  </si>
  <si>
    <t>Wandtr.26mm/Spanschuh x6</t>
  </si>
  <si>
    <t>7xK35-S</t>
  </si>
  <si>
    <t>Wandtr.26mm/Spanschuh x7</t>
  </si>
  <si>
    <t>2xW60-S</t>
  </si>
  <si>
    <t>Wandtr.60-108mm/Spanschuh x2</t>
  </si>
  <si>
    <t>3xW60-S</t>
  </si>
  <si>
    <t>Wandtr.60-108mm/Spanschuh x3</t>
  </si>
  <si>
    <t>4xW60-S</t>
  </si>
  <si>
    <t>Wandtr.60-108mm/Spanschuh x4</t>
  </si>
  <si>
    <t>5xW60-S</t>
  </si>
  <si>
    <t>Wandtr.60-108mm/Spanschuh x5</t>
  </si>
  <si>
    <t>6xW60-S</t>
  </si>
  <si>
    <t>Wandtr.60-108mm/Spanschuh x6</t>
  </si>
  <si>
    <t>7xW60-S</t>
  </si>
  <si>
    <t>Wandtr.60-108mm/Spanschuh x7</t>
  </si>
  <si>
    <t>2xG</t>
  </si>
  <si>
    <t>TAPE x2</t>
  </si>
  <si>
    <t>3xG</t>
  </si>
  <si>
    <t>TAPE x3</t>
  </si>
  <si>
    <t>4xG</t>
  </si>
  <si>
    <t>TAPE x4</t>
  </si>
  <si>
    <t>5xG</t>
  </si>
  <si>
    <t>TAPE x5</t>
  </si>
  <si>
    <t>6xG</t>
  </si>
  <si>
    <t>TAPE x6</t>
  </si>
  <si>
    <t>7xG</t>
  </si>
  <si>
    <t>TAPE x7</t>
  </si>
  <si>
    <t>2xU18</t>
  </si>
  <si>
    <t>U18 x2</t>
  </si>
  <si>
    <t>3xU18</t>
  </si>
  <si>
    <t>U18 x3</t>
  </si>
  <si>
    <t>4xU18</t>
  </si>
  <si>
    <t>U18 x4</t>
  </si>
  <si>
    <t>5xU18</t>
  </si>
  <si>
    <t>U18 x5</t>
  </si>
  <si>
    <t>6xU18</t>
  </si>
  <si>
    <t>U18 x6</t>
  </si>
  <si>
    <t>7xU18</t>
  </si>
  <si>
    <t>U18 x7</t>
  </si>
  <si>
    <t>2xU20</t>
  </si>
  <si>
    <t>U20 x2</t>
  </si>
  <si>
    <t>3xU20</t>
  </si>
  <si>
    <t>U20 x3</t>
  </si>
  <si>
    <t>4xU20</t>
  </si>
  <si>
    <t>U20 x4</t>
  </si>
  <si>
    <t>5xU20</t>
  </si>
  <si>
    <t>U20 x5</t>
  </si>
  <si>
    <t>6xU20</t>
  </si>
  <si>
    <t>U20 x6</t>
  </si>
  <si>
    <t>7xU20</t>
  </si>
  <si>
    <t>U20 x7</t>
  </si>
  <si>
    <t>2xU24</t>
  </si>
  <si>
    <t>U24 x2</t>
  </si>
  <si>
    <t>3xU24</t>
  </si>
  <si>
    <t>U24 x3</t>
  </si>
  <si>
    <t>4xU24</t>
  </si>
  <si>
    <t>U24 x4</t>
  </si>
  <si>
    <t>5xU24</t>
  </si>
  <si>
    <t>U24 x5</t>
  </si>
  <si>
    <t>6xU24</t>
  </si>
  <si>
    <t>U24 x6</t>
  </si>
  <si>
    <t>7xU24</t>
  </si>
  <si>
    <t>U24 x7</t>
  </si>
  <si>
    <t>2xU30</t>
  </si>
  <si>
    <t>U30 x2</t>
  </si>
  <si>
    <t>3xU30</t>
  </si>
  <si>
    <t>U30 x3</t>
  </si>
  <si>
    <t>4xU30</t>
  </si>
  <si>
    <t>U30 x4</t>
  </si>
  <si>
    <t>5xU30</t>
  </si>
  <si>
    <t>U30 x5</t>
  </si>
  <si>
    <t>6xU30</t>
  </si>
  <si>
    <t>U30 x6</t>
  </si>
  <si>
    <t>7xU30</t>
  </si>
  <si>
    <t>U30 x7</t>
  </si>
  <si>
    <t>2xU38</t>
  </si>
  <si>
    <t>U38 x2</t>
  </si>
  <si>
    <t>3xU38</t>
  </si>
  <si>
    <t>U38 x3</t>
  </si>
  <si>
    <t>4xU38</t>
  </si>
  <si>
    <t>U38 x4</t>
  </si>
  <si>
    <t>5xU38</t>
  </si>
  <si>
    <t>U38 x5</t>
  </si>
  <si>
    <t>6xU38</t>
  </si>
  <si>
    <t>U38 x6</t>
  </si>
  <si>
    <t>7xU38</t>
  </si>
  <si>
    <t>U38 x7</t>
  </si>
  <si>
    <t>7010-silber</t>
  </si>
  <si>
    <t>1858-schwarz</t>
  </si>
  <si>
    <t>4459-creme</t>
  </si>
  <si>
    <t xml:space="preserve">Prowadnica KL (w Zonne: Ramka PerfectFit Tape) </t>
  </si>
  <si>
    <t>PF</t>
  </si>
  <si>
    <t>Ramka PerfectFit Click</t>
  </si>
  <si>
    <t> U-profil S3-R1             </t>
  </si>
  <si>
    <t> Lightlock-Profil S8 20/25  </t>
  </si>
  <si>
    <t> U-profil A1                </t>
  </si>
  <si>
    <t> U-profil S3-F1             </t>
  </si>
  <si>
    <t> Lightlock-Profil S8-32     </t>
  </si>
  <si>
    <t>s8-25</t>
  </si>
  <si>
    <t>s3-r1</t>
  </si>
  <si>
    <t>s3-f1</t>
  </si>
  <si>
    <t>s8-32</t>
  </si>
  <si>
    <t>a1</t>
  </si>
  <si>
    <t>ST_STER-PROD</t>
  </si>
  <si>
    <t>ST_STER-PROD-opis</t>
  </si>
  <si>
    <t>KHG</t>
  </si>
  <si>
    <t>RĄCZKA PLASTIKOWA</t>
  </si>
  <si>
    <t>DHG</t>
  </si>
  <si>
    <t>RĄCZKA METALOWA DESIGN</t>
  </si>
  <si>
    <t>DHSV</t>
  </si>
  <si>
    <t>Designgriff S&amp;V</t>
  </si>
  <si>
    <t>SZNUR</t>
  </si>
  <si>
    <t>KORALIK</t>
  </si>
  <si>
    <t>DOTYK</t>
  </si>
  <si>
    <t>ELEKTRYCZNA</t>
  </si>
  <si>
    <t>FEA</t>
  </si>
  <si>
    <t>KUR</t>
  </si>
  <si>
    <t>SL</t>
  </si>
  <si>
    <t>LISTWA SL</t>
  </si>
  <si>
    <t>SLC</t>
  </si>
  <si>
    <t>LISTWA SLC</t>
  </si>
  <si>
    <t>LISTWA ML</t>
  </si>
  <si>
    <t>LISTWA FL</t>
  </si>
  <si>
    <t>STEROWANIE-EFOR</t>
  </si>
  <si>
    <t>STEROWANIE-EFOR-Opis</t>
  </si>
  <si>
    <t>Designgriff grau (310103)</t>
  </si>
  <si>
    <t>ohne</t>
  </si>
  <si>
    <t>schnur</t>
  </si>
  <si>
    <t>kette</t>
  </si>
  <si>
    <t>motor</t>
  </si>
  <si>
    <t>Bediengriff weiß (300101)</t>
  </si>
  <si>
    <t>Bediengriff schwarz (300106)</t>
  </si>
  <si>
    <t>Designgriff weiß (310101)</t>
  </si>
  <si>
    <t>Designgriff schwarz (310106)</t>
  </si>
  <si>
    <t>Bediengriff für Bedienstab weiß (300201)</t>
  </si>
  <si>
    <t>Bediengriff für Bedienstab schwarz (300206)</t>
  </si>
  <si>
    <t>RodzSt_opis</t>
  </si>
  <si>
    <t>Bediengriff für Bedienstab grau (300203)</t>
  </si>
  <si>
    <t>Bediengriff grau (300103)</t>
  </si>
  <si>
    <t>4800_5_SV</t>
  </si>
  <si>
    <t>4800_7_SV</t>
  </si>
  <si>
    <t>4800_2_SV</t>
  </si>
  <si>
    <t>4800_3_SV</t>
  </si>
  <si>
    <t>Bediengriff weiß (c2021)</t>
  </si>
  <si>
    <t>Bediengriff grau  (c2021)</t>
  </si>
  <si>
    <t>Bediengriff schwarz  (c2021)</t>
  </si>
  <si>
    <t>Bediengriff anthrazit  (c2021)</t>
  </si>
  <si>
    <t>Bediengriff bronze  (c2021)</t>
  </si>
  <si>
    <t>Designgriff weiß (c2021)</t>
  </si>
  <si>
    <t>Designgriff grau  (c2021)</t>
  </si>
  <si>
    <t>Designgriff schwarz  (c2021)</t>
  </si>
  <si>
    <t>Designgriff anthrazit  (c2021)</t>
  </si>
  <si>
    <t>Designgriff bronze  (c2021)</t>
  </si>
  <si>
    <t>Rączka bez napisu - biała</t>
  </si>
  <si>
    <t>Rączka bez napisu - szara</t>
  </si>
  <si>
    <t>Rączka bez napisu - czarna</t>
  </si>
  <si>
    <t>Rączka bez napisu - antracyt</t>
  </si>
  <si>
    <t>Rączka bez napisu - brąz</t>
  </si>
  <si>
    <t>endlosschnur</t>
  </si>
  <si>
    <t>Bediengriff SV-Design System c2021 weiß</t>
  </si>
  <si>
    <t>Bediengriff SV-Design System c2021 silbergrau</t>
  </si>
  <si>
    <t>Bediengriff SV-Design System c2021 schwarzbraun</t>
  </si>
  <si>
    <t>Bediengriff SV-Design System c2021 anthrazit</t>
  </si>
  <si>
    <t>efor-ster-kolor_syste</t>
  </si>
  <si>
    <t>prod-rodzst</t>
  </si>
  <si>
    <t>02</t>
  </si>
  <si>
    <t>05</t>
  </si>
  <si>
    <t>09</t>
  </si>
  <si>
    <t>KHG-20</t>
  </si>
  <si>
    <t>KHG-02</t>
  </si>
  <si>
    <t>KHG-05</t>
  </si>
  <si>
    <t>KHG-09</t>
  </si>
  <si>
    <t>KHG-24</t>
  </si>
  <si>
    <t>KHG-26</t>
  </si>
  <si>
    <t>DHG-20</t>
  </si>
  <si>
    <t>DHG-02</t>
  </si>
  <si>
    <t>DHG-05</t>
  </si>
  <si>
    <t>DHG-09</t>
  </si>
  <si>
    <t>DHG-24</t>
  </si>
  <si>
    <t>DHG-26</t>
  </si>
  <si>
    <t>DHSV-20</t>
  </si>
  <si>
    <t>DHSV-02</t>
  </si>
  <si>
    <t>DHSV-05</t>
  </si>
  <si>
    <t>DHSV-09</t>
  </si>
  <si>
    <t>DHSV-24</t>
  </si>
  <si>
    <t>DHSV-26</t>
  </si>
  <si>
    <t>KHG-2</t>
  </si>
  <si>
    <t>KHG-5</t>
  </si>
  <si>
    <t>KHG-9</t>
  </si>
  <si>
    <t>DHG-2</t>
  </si>
  <si>
    <t>DHG-5</t>
  </si>
  <si>
    <t>DHG-9</t>
  </si>
  <si>
    <t>DHSV-2</t>
  </si>
  <si>
    <t>DHSV-5</t>
  </si>
  <si>
    <t>DHSV-9</t>
  </si>
  <si>
    <t>c2021-7022 Omber-Grijs</t>
  </si>
  <si>
    <t>c2021-9005 Zwart</t>
  </si>
  <si>
    <t>c2021-9010 Wit</t>
  </si>
  <si>
    <t>c2021-9016 Verkeers-Wit</t>
  </si>
  <si>
    <t>FL siwy matt - 2021</t>
  </si>
  <si>
    <t>FL czarny - 2021</t>
  </si>
  <si>
    <t>FL biały - 2021</t>
  </si>
  <si>
    <t>FL antracytowy - 2021</t>
  </si>
  <si>
    <t>FL-7010-grau matt</t>
  </si>
  <si>
    <t>FL-1858-schwarz matt</t>
  </si>
  <si>
    <t>FL-0204-weiß matt</t>
  </si>
  <si>
    <t>FL-7016-anthrazit matt</t>
  </si>
  <si>
    <t>ML-7022-MetalGray matt</t>
  </si>
  <si>
    <t>ML MetalGray - 2021</t>
  </si>
  <si>
    <t>Czarny - 2021 MFPLUS</t>
  </si>
  <si>
    <t>Biały - 2021 MFPLUS</t>
  </si>
  <si>
    <t>Kremowy - 2021 MFPLUS</t>
  </si>
  <si>
    <t>Ciemno Szary - 2021</t>
  </si>
  <si>
    <t>złoty - 2021</t>
  </si>
  <si>
    <t>antracytowy - 2021</t>
  </si>
  <si>
    <t>szczotkowane aluminium - 2021</t>
  </si>
  <si>
    <t>ML-7010-grau matt</t>
  </si>
  <si>
    <t>ML-1858-schwarz matt</t>
  </si>
  <si>
    <t>ML siwy matt - 2021</t>
  </si>
  <si>
    <t>ML czarny - 2021</t>
  </si>
  <si>
    <t>ML-0204-weiß matt</t>
  </si>
  <si>
    <t>ML biały - 2021</t>
  </si>
  <si>
    <t>ML-7016-anthrazit matt</t>
  </si>
  <si>
    <t>ML antracytowy - 2021</t>
  </si>
  <si>
    <t>biały - 2021</t>
  </si>
  <si>
    <t>srebrny - 2021</t>
  </si>
  <si>
    <t>czarny - 2021</t>
  </si>
  <si>
    <t>Kolory RAL za dopłata - 2021</t>
  </si>
  <si>
    <t>c2021-7010-grau matt</t>
  </si>
  <si>
    <t>Kolory RAL za dopłata</t>
  </si>
  <si>
    <t>antracytowy</t>
  </si>
  <si>
    <t>7344-Alu-gebürstet</t>
  </si>
  <si>
    <t>szczotkowane aluminium</t>
  </si>
  <si>
    <t>7016-anthrazit</t>
  </si>
  <si>
    <t>c2017-7016-anthrazit</t>
  </si>
  <si>
    <t>złoty - 2017</t>
  </si>
  <si>
    <t>kremowy - 2017</t>
  </si>
  <si>
    <t>Grau matt - 2021</t>
  </si>
  <si>
    <t>antracytowy - 2017</t>
  </si>
  <si>
    <t>szczotkowane aluminium - 2017</t>
  </si>
  <si>
    <t>biały - 2017</t>
  </si>
  <si>
    <t>srebrny - 2017</t>
  </si>
  <si>
    <t>czarny - 2017</t>
  </si>
  <si>
    <t>Kolory RAL za dopłata - 2017</t>
  </si>
  <si>
    <t>c2017-0204-weiß</t>
  </si>
  <si>
    <t>c2017-7010-silber</t>
  </si>
  <si>
    <t>c2017-1858-schwarz</t>
  </si>
  <si>
    <t>c2017-RAL</t>
  </si>
  <si>
    <t>c2017-7120-messing</t>
  </si>
  <si>
    <t>c2017-4459-creme</t>
  </si>
  <si>
    <t>c2017-7344-Alu-gebürstet</t>
  </si>
  <si>
    <t>c2021-0204-weiß matt</t>
  </si>
  <si>
    <t>c2021-7010-silber</t>
  </si>
  <si>
    <t>c2021-7120-bronze</t>
  </si>
  <si>
    <t>c2021-7016-anthrazit matt</t>
  </si>
  <si>
    <t>c2021-7344-silber gebürstet</t>
  </si>
  <si>
    <t>c2021-RAL</t>
  </si>
  <si>
    <t>c2021-1858-schwarz matt</t>
  </si>
  <si>
    <t>czarny</t>
  </si>
  <si>
    <t>7120-messing</t>
  </si>
  <si>
    <t>złoty</t>
  </si>
  <si>
    <t>kremowy</t>
  </si>
  <si>
    <t>2 KL M</t>
  </si>
  <si>
    <t>Comfort 20</t>
  </si>
  <si>
    <t>Comfort 30</t>
  </si>
  <si>
    <t>2 ML MFPlus</t>
  </si>
  <si>
    <t>2 FL KL</t>
  </si>
  <si>
    <t>Foto VS</t>
  </si>
  <si>
    <t>Foto F</t>
  </si>
  <si>
    <t>2 DOUBLE SL HG</t>
  </si>
  <si>
    <t>FD</t>
  </si>
  <si>
    <t>Slope3</t>
  </si>
  <si>
    <t>Slope4</t>
  </si>
  <si>
    <t>4 S</t>
  </si>
  <si>
    <t>9 D</t>
  </si>
  <si>
    <t>10 D</t>
  </si>
  <si>
    <t>5 L</t>
  </si>
  <si>
    <t>5 SD L</t>
  </si>
  <si>
    <t>6 L</t>
  </si>
  <si>
    <t>6 SD L</t>
  </si>
  <si>
    <t>7 L</t>
  </si>
  <si>
    <t>8 L</t>
  </si>
  <si>
    <t>2 DOUBLE</t>
  </si>
  <si>
    <t>2 SF</t>
  </si>
  <si>
    <t>3 SF</t>
  </si>
  <si>
    <t>E SF</t>
  </si>
  <si>
    <t>1 M</t>
  </si>
  <si>
    <t>2 SL HG</t>
  </si>
  <si>
    <t>2 DOUBLE SL</t>
  </si>
  <si>
    <t>2 MFPlus</t>
  </si>
  <si>
    <t>K31</t>
  </si>
  <si>
    <t>K32</t>
  </si>
  <si>
    <t>K33</t>
  </si>
  <si>
    <t>E30</t>
  </si>
  <si>
    <t>E31</t>
  </si>
  <si>
    <t>E32</t>
  </si>
  <si>
    <t>E33</t>
  </si>
  <si>
    <t>P2</t>
  </si>
  <si>
    <t>P3</t>
  </si>
  <si>
    <t>Comfort 10</t>
  </si>
  <si>
    <t>1 ML MFPlus</t>
  </si>
  <si>
    <t>2 DOUBLE M</t>
  </si>
  <si>
    <t>SD M</t>
  </si>
  <si>
    <t>1 ML</t>
  </si>
  <si>
    <t>SR</t>
  </si>
  <si>
    <t>DF10</t>
  </si>
  <si>
    <t>DFC10</t>
  </si>
  <si>
    <t>?</t>
  </si>
  <si>
    <t>F2SF</t>
  </si>
  <si>
    <t>wolnowisząca top/down z prowadzeniem bocznym</t>
  </si>
  <si>
    <t>F3SF</t>
  </si>
  <si>
    <t>wolnowisząca dzień/noc z prowadzeniem bocznym</t>
  </si>
  <si>
    <t>FESF</t>
  </si>
  <si>
    <t>elektryk z prowadzeniem bocznym</t>
  </si>
  <si>
    <t>PL30_R</t>
  </si>
  <si>
    <t>grupa_cenowa</t>
  </si>
  <si>
    <t>OPIS_CENY</t>
  </si>
  <si>
    <t>OPIS_RABATU</t>
  </si>
  <si>
    <t>department</t>
  </si>
  <si>
    <t>Testowa 55</t>
  </si>
  <si>
    <t>Testowy sp. z o.o.</t>
  </si>
  <si>
    <t xml:space="preserve">    testowe zamówienie skosy VS</t>
  </si>
  <si>
    <t>test_skosy_VS</t>
  </si>
  <si>
    <t>pawel.woroniecki@hkl.eu</t>
  </si>
  <si>
    <t>HKL</t>
  </si>
  <si>
    <t>26.01.2026, 05:40:08</t>
  </si>
  <si>
    <t>PL 55423325</t>
  </si>
  <si>
    <t>TESTOWY</t>
  </si>
  <si>
    <t>00-000</t>
  </si>
  <si>
    <t>COSIFLOR</t>
  </si>
  <si>
    <t>PLISY</t>
  </si>
  <si>
    <t>3003-P20</t>
  </si>
  <si>
    <t>PG #0</t>
  </si>
  <si>
    <t>20401-P20</t>
  </si>
  <si>
    <t>TYP1</t>
  </si>
  <si>
    <t>UK|STAB125</t>
  </si>
  <si>
    <t>MODEL=VS4_L,KOLOR TKANINY=20401-P20,KOLOR SYSTEMU=20,WYMIAROWANIE SKOSÓW=[object Object],STEROWANIE=KHG,MONTAŻ=CD,DODATKI=UK|STAB125</t>
  </si>
  <si>
    <t>MLD125</t>
  </si>
  <si>
    <t>MLD150</t>
  </si>
  <si>
    <t>MLD200</t>
  </si>
  <si>
    <t>MLD250</t>
  </si>
  <si>
    <t>MEL125</t>
  </si>
  <si>
    <t>KOR125</t>
  </si>
  <si>
    <t>KOR150</t>
  </si>
  <si>
    <t>KOR200</t>
  </si>
  <si>
    <t>KOR250</t>
  </si>
  <si>
    <t>CLS</t>
  </si>
  <si>
    <t>korba</t>
  </si>
  <si>
    <t>korba EL</t>
  </si>
  <si>
    <t>SKOS TYP</t>
  </si>
  <si>
    <t>B [mm]</t>
  </si>
  <si>
    <t>B1 [mm]</t>
  </si>
  <si>
    <t>H [mm]</t>
  </si>
  <si>
    <t>H1 [mm]</t>
  </si>
  <si>
    <t>H2 [mm]</t>
  </si>
  <si>
    <t>Kreuzgraben 4</t>
  </si>
  <si>
    <t>Berlin</t>
  </si>
  <si>
    <t>TEST_LuxanDE</t>
  </si>
  <si>
    <t>test kk autoimport TIM - nie produkować</t>
  </si>
  <si>
    <t>DE</t>
  </si>
  <si>
    <t>kk@hkl.eu</t>
  </si>
  <si>
    <t>LUXANGMBH</t>
  </si>
  <si>
    <t>16.02.2026, 15:08:18</t>
  </si>
  <si>
    <t>DE814603367</t>
  </si>
  <si>
    <t>PLISSEE</t>
  </si>
  <si>
    <t>HOMEMOTION</t>
  </si>
  <si>
    <t>PREIS N. RABATT [€] netto</t>
  </si>
  <si>
    <t>RABATT</t>
  </si>
  <si>
    <t>GES.STÜCKPREIS [€]</t>
  </si>
  <si>
    <t>LISTENPREIS [€]</t>
  </si>
  <si>
    <t>BEDIENUNGLÄNGE [MM]</t>
  </si>
  <si>
    <t>KEINE</t>
  </si>
  <si>
    <t>EXTRAS</t>
  </si>
  <si>
    <t>RABAT EL</t>
  </si>
  <si>
    <t>AUFPREIS EL[€]</t>
  </si>
  <si>
    <t>AUFPREIS [€]</t>
  </si>
  <si>
    <t>VIDEO</t>
  </si>
  <si>
    <t>MENGE</t>
  </si>
  <si>
    <t>ANLEITUNG</t>
  </si>
  <si>
    <t>ZWEITER STOFF</t>
  </si>
  <si>
    <t>FARBE KELBELEISTE</t>
  </si>
  <si>
    <t>FARBE SCHNUR/KETTE</t>
  </si>
  <si>
    <t>Silber eloxiert E6/EV1</t>
  </si>
  <si>
    <t>SYSTEMFARBE</t>
  </si>
  <si>
    <t>STOFF</t>
  </si>
  <si>
    <t>FENSTER TYP</t>
  </si>
  <si>
    <t>Verspannt</t>
  </si>
  <si>
    <t>MODELL</t>
  </si>
  <si>
    <t>SPANNSCHUH</t>
  </si>
  <si>
    <t>MONTAGEART</t>
  </si>
  <si>
    <t>KINDERSICHERHEIT</t>
  </si>
  <si>
    <t>LISTENPREIS [€]=162</t>
  </si>
  <si>
    <t>MODELL=VS2,STOFF=20401-P20,SYSTEMFARBE=02,BREITE [MM]=999,HÖHE [MM]=999,BEDIENUNG=KHG,MONTAGEART=SPSCH</t>
  </si>
  <si>
    <t>RABATT=60.00%</t>
  </si>
  <si>
    <t>FERNBEDIENUNG</t>
  </si>
  <si>
    <t>FLÄCHE[M2]</t>
  </si>
  <si>
    <t>FENSTERRAHMENHÖHE [MM]</t>
  </si>
  <si>
    <t>MODELL FENSTER</t>
  </si>
  <si>
    <t>GRÖSSE</t>
  </si>
  <si>
    <t>Kunstoffgriff</t>
  </si>
  <si>
    <t>ELEKRTISCHE BEDIENUNG</t>
  </si>
  <si>
    <t>BEDIENUNG</t>
  </si>
  <si>
    <t>SEITE LADESTECKDOSE</t>
  </si>
  <si>
    <t>BEDIENSEITE</t>
  </si>
  <si>
    <t>SEITE KABELAUSTRIT</t>
  </si>
  <si>
    <t>GES.WERT [€]</t>
  </si>
  <si>
    <t>BREITE [MM]</t>
  </si>
  <si>
    <t>GES.WERT N. RABATT [€] netto</t>
  </si>
  <si>
    <t>SLOPE MASSE</t>
  </si>
  <si>
    <t>HÖHE [MM]</t>
  </si>
  <si>
    <t>MONTAGEHÖHE [MM]</t>
  </si>
  <si>
    <t>BATERIE/NETZTEIL</t>
  </si>
  <si>
    <t>magnetische Spannschuh</t>
  </si>
  <si>
    <t>SPANNSCHUH MIT MAGNET</t>
  </si>
  <si>
    <t>LISTENPREIS [€]=162,AUFPREIS [€]=11.5</t>
  </si>
  <si>
    <t>MODELL=VS2_M,STOFF=20401-P20,SYSTEMFARBE=02,BREITE [MM]=999,HÖHE [MM]=999,BEDIENUNG=KHG,MONTAGEART=SPSCHM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</si>
</sst>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#,##0\ [$€-1];[Red]\-#,##0\ [$€-1]"/>
    <numFmt numFmtId="168" formatCode="_(* #,##0.00_);_(* \(#,##0.00\);_(* &quot;-&quot;??_);_(@_)"/>
    <numFmt numFmtId="169" formatCode="_(&quot;zł&quot;* #,##0.00_);_(&quot;zł&quot;* \(#,##0.00\);_(&quot;zł&quot;* &quot;-&quot;??_);_(@_)"/>
  </numFmts>
  <fonts count="132"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b/>
      <sz val="11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name val="Calibri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0"/>
      <color indexed="17"/>
      <name val="Arial CE"/>
    </font>
    <font>
      <sz val="11"/>
      <color indexed="17"/>
      <name val="Calibri"/>
      <family val="2"/>
      <charset val="238"/>
    </font>
    <font>
      <b/>
      <sz val="10"/>
      <name val="Arial CE"/>
    </font>
    <font>
      <sz val="10"/>
      <name val="Arial"/>
      <family val="2"/>
      <charset val="238"/>
    </font>
    <font>
      <sz val="10"/>
      <color indexed="57"/>
      <name val="Arial CE"/>
    </font>
    <font>
      <b/>
      <sz val="11"/>
      <color indexed="43"/>
      <name val="Czcionka tekstu podstawowego"/>
      <family val="2"/>
      <charset val="238"/>
    </font>
    <font>
      <sz val="10"/>
      <name val="Arial CE"/>
      <family val="2"/>
      <charset val="238"/>
    </font>
    <font>
      <b/>
      <sz val="10"/>
      <name val="Arial CE"/>
      <charset val="238"/>
    </font>
    <font>
      <sz val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sz val="11"/>
      <color rgb="FFFF0000"/>
      <name val="Calibri"/>
      <family val="2"/>
      <charset val="238"/>
      <scheme val="minor"/>
    </font>
  </fonts>
  <fills count="7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9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19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14"/>
        <bgColor indexed="39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18"/>
        <bgColor indexed="33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</fills>
  <borders count="6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705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7" fillId="3" borderId="0" applyNumberFormat="0" applyBorder="0" applyAlignment="0" applyProtection="0"/>
    <xf numFmtId="0" fontId="7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7" fillId="10" borderId="0" applyNumberFormat="0" applyBorder="0" applyAlignment="0" applyProtection="0"/>
    <xf numFmtId="0" fontId="7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7" fillId="5" borderId="0" applyNumberFormat="0" applyBorder="0" applyAlignment="0" applyProtection="0"/>
    <xf numFmtId="0" fontId="7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7" fillId="3" borderId="0" applyNumberFormat="0" applyBorder="0" applyAlignment="0" applyProtection="0"/>
    <xf numFmtId="0" fontId="7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7" borderId="0" applyNumberFormat="0" applyBorder="0" applyAlignment="0" applyProtection="0"/>
    <xf numFmtId="0" fontId="9" fillId="3" borderId="0" applyNumberFormat="0" applyBorder="0" applyAlignment="0" applyProtection="0"/>
    <xf numFmtId="0" fontId="7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3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7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7" fillId="13" borderId="0" applyNumberFormat="0" applyBorder="0" applyAlignment="0" applyProtection="0"/>
    <xf numFmtId="0" fontId="7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3" borderId="0" applyNumberFormat="0" applyBorder="0" applyAlignment="0" applyProtection="0"/>
    <xf numFmtId="0" fontId="9" fillId="3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7" fillId="13" borderId="0" applyNumberFormat="0" applyBorder="0" applyAlignment="0" applyProtection="0"/>
    <xf numFmtId="0" fontId="10" fillId="11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6" fillId="1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6" fillId="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6" fillId="12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6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6" fillId="11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6" fillId="17" borderId="0" applyNumberFormat="0" applyBorder="0" applyAlignment="0" applyProtection="0"/>
    <xf numFmtId="0" fontId="11" fillId="18" borderId="0" applyNumberFormat="0" applyBorder="0" applyAlignment="0" applyProtection="0"/>
    <xf numFmtId="0" fontId="12" fillId="18" borderId="0" applyNumberFormat="0" applyBorder="0" applyAlignment="0" applyProtection="0"/>
    <xf numFmtId="0" fontId="9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1" fillId="16" borderId="0" applyNumberFormat="0" applyBorder="0" applyAlignment="0" applyProtection="0"/>
    <xf numFmtId="0" fontId="11" fillId="10" borderId="0" applyNumberFormat="0" applyBorder="0" applyAlignment="0" applyProtection="0"/>
    <xf numFmtId="0" fontId="12" fillId="10" borderId="0" applyNumberFormat="0" applyBorder="0" applyAlignment="0" applyProtection="0"/>
    <xf numFmtId="0" fontId="9" fillId="3" borderId="0" applyNumberFormat="0" applyBorder="0" applyAlignment="0" applyProtection="0"/>
    <xf numFmtId="0" fontId="12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2" fillId="14" borderId="0" applyNumberFormat="0" applyBorder="0" applyAlignment="0" applyProtection="0"/>
    <xf numFmtId="0" fontId="9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1" fillId="13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9" fillId="13" borderId="0" applyNumberFormat="0" applyBorder="0" applyAlignment="0" applyProtection="0"/>
    <xf numFmtId="0" fontId="12" fillId="12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6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12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0" borderId="0" applyNumberFormat="0" applyBorder="0" applyAlignment="0" applyProtection="0"/>
    <xf numFmtId="0" fontId="12" fillId="20" borderId="0" applyNumberFormat="0" applyBorder="0" applyAlignment="0" applyProtection="0"/>
    <xf numFmtId="0" fontId="9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1" fillId="10" borderId="0" applyNumberFormat="0" applyBorder="0" applyAlignment="0" applyProtection="0"/>
    <xf numFmtId="0" fontId="14" fillId="0" borderId="0" applyBorder="0" applyProtection="0"/>
    <xf numFmtId="0" fontId="15" fillId="21" borderId="0" applyBorder="0" applyProtection="0"/>
    <xf numFmtId="0" fontId="15" fillId="21" borderId="0" applyBorder="0" applyProtection="0"/>
    <xf numFmtId="0" fontId="16" fillId="22" borderId="0" applyNumberFormat="0" applyBorder="0" applyProtection="0"/>
    <xf numFmtId="0" fontId="14" fillId="0" borderId="0" applyBorder="0" applyProtection="0"/>
    <xf numFmtId="0" fontId="15" fillId="23" borderId="0" applyBorder="0" applyProtection="0"/>
    <xf numFmtId="0" fontId="15" fillId="23" borderId="0" applyBorder="0" applyProtection="0"/>
    <xf numFmtId="0" fontId="16" fillId="24" borderId="0" applyNumberFormat="0" applyBorder="0" applyProtection="0"/>
    <xf numFmtId="0" fontId="14" fillId="25" borderId="0" applyBorder="0" applyProtection="0"/>
    <xf numFmtId="0" fontId="14" fillId="25" borderId="0" applyBorder="0" applyProtection="0"/>
    <xf numFmtId="0" fontId="17" fillId="26" borderId="0" applyNumberFormat="0" applyFont="0" applyBorder="0" applyProtection="0"/>
    <xf numFmtId="0" fontId="18" fillId="0" borderId="0" applyNumberFormat="0" applyBorder="0" applyProtection="0"/>
    <xf numFmtId="0" fontId="12" fillId="27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6" fillId="28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32" borderId="0" applyNumberFormat="0" applyBorder="0" applyAlignment="0" applyProtection="0"/>
    <xf numFmtId="0" fontId="9" fillId="26" borderId="0" applyNumberFormat="0" applyBorder="0" applyAlignment="0" applyProtection="0"/>
    <xf numFmtId="0" fontId="9" fillId="33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33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6" fillId="26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4" borderId="0" applyNumberFormat="0" applyBorder="0" applyAlignment="0" applyProtection="0"/>
    <xf numFmtId="0" fontId="9" fillId="26" borderId="0" applyNumberFormat="0" applyBorder="0" applyAlignment="0" applyProtection="0"/>
    <xf numFmtId="0" fontId="9" fillId="33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33" borderId="0" applyNumberFormat="0" applyBorder="0" applyAlignment="0" applyProtection="0"/>
    <xf numFmtId="0" fontId="9" fillId="26" borderId="0" applyNumberFormat="0" applyBorder="0" applyAlignment="0" applyProtection="0"/>
    <xf numFmtId="0" fontId="9" fillId="36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3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17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27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6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19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37" borderId="0" applyNumberFormat="0" applyBorder="0" applyAlignment="0" applyProtection="0"/>
    <xf numFmtId="0" fontId="9" fillId="26" borderId="0" applyNumberFormat="0" applyBorder="0" applyAlignment="0" applyProtection="0"/>
    <xf numFmtId="0" fontId="9" fillId="38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38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16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6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29" borderId="0" applyNumberFormat="0" applyBorder="0" applyAlignment="0" applyProtection="0"/>
    <xf numFmtId="0" fontId="12" fillId="40" borderId="0" applyNumberFormat="0" applyBorder="0" applyAlignment="0" applyProtection="0"/>
    <xf numFmtId="0" fontId="12" fillId="29" borderId="0" applyNumberFormat="0" applyBorder="0" applyAlignment="0" applyProtection="0"/>
    <xf numFmtId="0" fontId="12" fillId="40" borderId="0" applyNumberFormat="0" applyBorder="0" applyAlignment="0" applyProtection="0"/>
    <xf numFmtId="0" fontId="12" fillId="29" borderId="0" applyNumberFormat="0" applyBorder="0" applyAlignment="0" applyProtection="0"/>
    <xf numFmtId="0" fontId="10" fillId="41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3" fillId="42" borderId="0" applyBorder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1" fillId="31" borderId="0" applyNumberFormat="0" applyBorder="0" applyAlignment="0" applyProtection="0"/>
    <xf numFmtId="0" fontId="12" fillId="16" borderId="0" applyNumberFormat="0" applyBorder="0" applyAlignment="0" applyProtection="0"/>
    <xf numFmtId="0" fontId="12" fillId="31" borderId="0" applyNumberFormat="0" applyBorder="0" applyAlignment="0" applyProtection="0"/>
    <xf numFmtId="0" fontId="13" fillId="43" borderId="0" applyBorder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1" fillId="35" borderId="0" applyNumberFormat="0" applyBorder="0" applyAlignment="0" applyProtection="0"/>
    <xf numFmtId="0" fontId="12" fillId="44" borderId="0" applyNumberFormat="0" applyBorder="0" applyAlignment="0" applyProtection="0"/>
    <xf numFmtId="0" fontId="12" fillId="35" borderId="0" applyNumberFormat="0" applyBorder="0" applyAlignment="0" applyProtection="0"/>
    <xf numFmtId="0" fontId="13" fillId="46" borderId="0" applyBorder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1" fillId="17" borderId="0" applyNumberFormat="0" applyBorder="0" applyAlignment="0" applyProtection="0"/>
    <xf numFmtId="0" fontId="11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17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1" fillId="19" borderId="0" applyNumberFormat="0" applyBorder="0" applyAlignment="0" applyProtection="0"/>
    <xf numFmtId="0" fontId="12" fillId="47" borderId="0" applyNumberFormat="0" applyBorder="0" applyAlignment="0" applyProtection="0"/>
    <xf numFmtId="0" fontId="12" fillId="19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16" borderId="0" applyNumberFormat="0" applyBorder="0" applyAlignment="0" applyProtection="0"/>
    <xf numFmtId="0" fontId="12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1" fillId="41" borderId="0" applyNumberFormat="0" applyBorder="0" applyAlignment="0" applyProtection="0"/>
    <xf numFmtId="0" fontId="12" fillId="41" borderId="0" applyNumberFormat="0" applyBorder="0" applyAlignment="0" applyProtection="0"/>
    <xf numFmtId="0" fontId="10" fillId="16" borderId="0" applyNumberFormat="0" applyBorder="0" applyAlignment="0" applyProtection="0"/>
    <xf numFmtId="0" fontId="10" fillId="41" borderId="0" applyNumberFormat="0" applyBorder="0" applyAlignment="0" applyProtection="0"/>
    <xf numFmtId="0" fontId="10" fillId="45" borderId="0" applyNumberFormat="0" applyBorder="0" applyAlignment="0" applyProtection="0"/>
    <xf numFmtId="0" fontId="10" fillId="15" borderId="0" applyNumberFormat="0" applyBorder="0" applyAlignment="0" applyProtection="0"/>
    <xf numFmtId="0" fontId="10" fillId="31" borderId="0" applyNumberFormat="0" applyBorder="0" applyAlignment="0" applyProtection="0"/>
    <xf numFmtId="0" fontId="10" fillId="17" borderId="0" applyNumberFormat="0" applyBorder="0" applyAlignment="0" applyProtection="0"/>
    <xf numFmtId="0" fontId="19" fillId="4" borderId="1" applyNumberFormat="0" applyAlignment="0" applyProtection="0"/>
    <xf numFmtId="0" fontId="19" fillId="4" borderId="1" applyNumberFormat="0" applyAlignment="0" applyProtection="0"/>
    <xf numFmtId="0" fontId="30" fillId="48" borderId="2" applyProtection="0"/>
    <xf numFmtId="0" fontId="20" fillId="49" borderId="0" applyNumberFormat="0" applyBorder="0" applyAlignment="0" applyProtection="0"/>
    <xf numFmtId="0" fontId="21" fillId="50" borderId="0" applyNumberFormat="0" applyBorder="0" applyProtection="0"/>
    <xf numFmtId="0" fontId="22" fillId="51" borderId="0" applyBorder="0" applyProtection="0"/>
    <xf numFmtId="0" fontId="21" fillId="8" borderId="0" applyNumberFormat="0" applyBorder="0" applyAlignment="0" applyProtection="0"/>
    <xf numFmtId="0" fontId="20" fillId="49" borderId="0" applyNumberFormat="0" applyBorder="0" applyAlignment="0" applyProtection="0"/>
    <xf numFmtId="0" fontId="23" fillId="4" borderId="3" applyNumberFormat="0" applyAlignment="0" applyProtection="0"/>
    <xf numFmtId="0" fontId="23" fillId="4" borderId="3" applyNumberFormat="0" applyAlignment="0" applyProtection="0"/>
    <xf numFmtId="0" fontId="124" fillId="48" borderId="4" applyProtection="0"/>
    <xf numFmtId="0" fontId="24" fillId="52" borderId="3" applyNumberFormat="0" applyAlignment="0" applyProtection="0"/>
    <xf numFmtId="0" fontId="23" fillId="12" borderId="3" applyNumberFormat="0" applyAlignment="0" applyProtection="0"/>
    <xf numFmtId="0" fontId="92" fillId="52" borderId="3" applyNumberFormat="0" applyAlignment="0" applyProtection="0"/>
    <xf numFmtId="0" fontId="25" fillId="34" borderId="5" applyNumberFormat="0" applyAlignment="0" applyProtection="0"/>
    <xf numFmtId="0" fontId="26" fillId="45" borderId="5" applyNumberFormat="0" applyAlignment="0" applyProtection="0"/>
    <xf numFmtId="0" fontId="26" fillId="34" borderId="5" applyNumberFormat="0" applyAlignment="0" applyProtection="0"/>
    <xf numFmtId="0" fontId="27" fillId="53" borderId="4" applyProtection="0"/>
    <xf numFmtId="0" fontId="27" fillId="53" borderId="4" applyProtection="0"/>
    <xf numFmtId="0" fontId="28" fillId="3" borderId="3" applyNumberFormat="0" applyAlignment="0" applyProtection="0"/>
    <xf numFmtId="0" fontId="28" fillId="3" borderId="3" applyNumberFormat="0" applyAlignment="0" applyProtection="0"/>
    <xf numFmtId="0" fontId="102" fillId="3" borderId="3" applyNumberFormat="0" applyAlignment="0" applyProtection="0"/>
    <xf numFmtId="0" fontId="28" fillId="3" borderId="3" applyNumberFormat="0" applyAlignment="0" applyProtection="0"/>
    <xf numFmtId="0" fontId="30" fillId="48" borderId="2" applyProtection="0"/>
    <xf numFmtId="0" fontId="30" fillId="48" borderId="2" applyProtection="0"/>
    <xf numFmtId="0" fontId="31" fillId="12" borderId="1" applyNumberFormat="0" applyAlignment="0" applyProtection="0"/>
    <xf numFmtId="0" fontId="31" fillId="12" borderId="1" applyNumberFormat="0" applyAlignment="0" applyProtection="0"/>
    <xf numFmtId="0" fontId="103" fillId="12" borderId="1" applyNumberFormat="0" applyAlignment="0" applyProtection="0"/>
    <xf numFmtId="0" fontId="31" fillId="4" borderId="1" applyNumberFormat="0" applyAlignment="0" applyProtection="0"/>
    <xf numFmtId="0" fontId="32" fillId="7" borderId="0" applyNumberFormat="0" applyBorder="0" applyAlignment="0" applyProtection="0"/>
    <xf numFmtId="0" fontId="33" fillId="7" borderId="0" applyNumberFormat="0" applyBorder="0" applyAlignment="0" applyProtection="0"/>
    <xf numFmtId="0" fontId="34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43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29" fillId="3" borderId="3" applyNumberFormat="0" applyAlignment="0" applyProtection="0"/>
    <xf numFmtId="0" fontId="29" fillId="3" borderId="3" applyNumberFormat="0" applyAlignment="0" applyProtection="0"/>
    <xf numFmtId="0" fontId="27" fillId="53" borderId="4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6" fillId="54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6" fillId="55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0" borderId="6" applyNumberFormat="0" applyFill="0" applyAlignment="0" applyProtection="0"/>
    <xf numFmtId="0" fontId="36" fillId="0" borderId="6" applyNumberFormat="0" applyFill="0" applyAlignment="0" applyProtection="0"/>
    <xf numFmtId="0" fontId="30" fillId="0" borderId="7" applyProtection="0"/>
    <xf numFmtId="0" fontId="37" fillId="0" borderId="0" applyNumberFormat="0" applyFill="0" applyBorder="0" applyAlignment="0" applyProtection="0"/>
    <xf numFmtId="0" fontId="38" fillId="57" borderId="0" applyBorder="0" applyProtection="0"/>
    <xf numFmtId="0" fontId="38" fillId="57" borderId="0" applyBorder="0" applyProtection="0"/>
    <xf numFmtId="0" fontId="39" fillId="58" borderId="0" applyNumberFormat="0" applyBorder="0" applyProtection="0"/>
    <xf numFmtId="164" fontId="40" fillId="0" borderId="0" applyFont="0" applyFill="0" applyBorder="0" applyAlignment="0" applyProtection="0"/>
    <xf numFmtId="165" fontId="5" fillId="0" borderId="0" applyFill="0" applyBorder="0" applyAlignment="0" applyProtection="0"/>
    <xf numFmtId="0" fontId="6" fillId="0" borderId="0"/>
    <xf numFmtId="0" fontId="41" fillId="0" borderId="0"/>
    <xf numFmtId="0" fontId="7" fillId="0" borderId="0"/>
    <xf numFmtId="0" fontId="42" fillId="0" borderId="0"/>
    <xf numFmtId="0" fontId="41" fillId="0" borderId="0"/>
    <xf numFmtId="0" fontId="6" fillId="0" borderId="0"/>
    <xf numFmtId="0" fontId="4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3" fillId="0" borderId="0" applyBorder="0" applyProtection="0"/>
    <xf numFmtId="0" fontId="43" fillId="0" borderId="0" applyBorder="0" applyProtection="0"/>
    <xf numFmtId="0" fontId="44" fillId="0" borderId="0" applyNumberFormat="0" applyBorder="0" applyProtection="0"/>
    <xf numFmtId="0" fontId="33" fillId="36" borderId="0" applyNumberFormat="0" applyBorder="0" applyAlignment="0" applyProtection="0"/>
    <xf numFmtId="0" fontId="34" fillId="59" borderId="0" applyNumberFormat="0" applyBorder="0" applyProtection="0"/>
    <xf numFmtId="0" fontId="34" fillId="7" borderId="0" applyNumberFormat="0" applyBorder="0" applyAlignment="0" applyProtection="0"/>
    <xf numFmtId="0" fontId="45" fillId="60" borderId="0" applyBorder="0" applyProtection="0"/>
    <xf numFmtId="0" fontId="33" fillId="36" borderId="0" applyNumberFormat="0" applyBorder="0" applyAlignment="0" applyProtection="0"/>
    <xf numFmtId="0" fontId="34" fillId="7" borderId="0" applyNumberFormat="0" applyBorder="0" applyAlignment="0" applyProtection="0"/>
    <xf numFmtId="0" fontId="46" fillId="0" borderId="0" applyBorder="0" applyProtection="0"/>
    <xf numFmtId="0" fontId="47" fillId="0" borderId="8" applyNumberFormat="0" applyFill="0" applyAlignment="0" applyProtection="0"/>
    <xf numFmtId="0" fontId="48" fillId="0" borderId="0" applyBorder="0" applyProtection="0"/>
    <xf numFmtId="0" fontId="47" fillId="0" borderId="8" applyNumberFormat="0" applyFill="0" applyAlignment="0" applyProtection="0"/>
    <xf numFmtId="0" fontId="47" fillId="0" borderId="8" applyNumberFormat="0" applyFill="0" applyAlignment="0" applyProtection="0"/>
    <xf numFmtId="0" fontId="49" fillId="0" borderId="9" applyNumberFormat="0" applyFill="0" applyAlignment="0" applyProtection="0"/>
    <xf numFmtId="0" fontId="50" fillId="0" borderId="9" applyNumberFormat="0" applyFill="0" applyProtection="0"/>
    <xf numFmtId="0" fontId="51" fillId="0" borderId="0" applyBorder="0" applyProtection="0"/>
    <xf numFmtId="0" fontId="49" fillId="0" borderId="9" applyNumberFormat="0" applyFill="0" applyAlignment="0" applyProtection="0"/>
    <xf numFmtId="0" fontId="52" fillId="0" borderId="10" applyNumberFormat="0" applyFill="0" applyAlignment="0" applyProtection="0"/>
    <xf numFmtId="0" fontId="52" fillId="0" borderId="10" applyNumberFormat="0" applyFill="0" applyAlignment="0" applyProtection="0"/>
    <xf numFmtId="0" fontId="93" fillId="0" borderId="10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46" fillId="0" borderId="0" applyBorder="0" applyProtection="0"/>
    <xf numFmtId="0" fontId="53" fillId="0" borderId="0">
      <alignment horizontal="center" textRotation="90"/>
    </xf>
    <xf numFmtId="0" fontId="54" fillId="0" borderId="0" applyBorder="0" applyProtection="0"/>
    <xf numFmtId="0" fontId="54" fillId="0" borderId="0" applyBorder="0" applyProtection="0"/>
    <xf numFmtId="0" fontId="28" fillId="40" borderId="3" applyNumberFormat="0" applyAlignment="0" applyProtection="0"/>
    <xf numFmtId="0" fontId="28" fillId="29" borderId="3" applyNumberFormat="0" applyAlignment="0" applyProtection="0"/>
    <xf numFmtId="0" fontId="28" fillId="29" borderId="3" applyNumberFormat="0" applyAlignment="0" applyProtection="0"/>
    <xf numFmtId="0" fontId="28" fillId="26" borderId="3" applyNumberFormat="0" applyAlignment="0" applyProtection="0"/>
    <xf numFmtId="0" fontId="28" fillId="40" borderId="3" applyNumberFormat="0" applyAlignment="0" applyProtection="0"/>
    <xf numFmtId="0" fontId="28" fillId="40" borderId="3" applyNumberFormat="0" applyAlignment="0" applyProtection="0"/>
    <xf numFmtId="0" fontId="29" fillId="3" borderId="3" applyNumberFormat="0" applyAlignment="0" applyProtection="0"/>
    <xf numFmtId="0" fontId="28" fillId="29" borderId="3" applyNumberFormat="0" applyAlignment="0" applyProtection="0"/>
    <xf numFmtId="0" fontId="55" fillId="3" borderId="3" applyNumberFormat="0" applyAlignment="0" applyProtection="0"/>
    <xf numFmtId="0" fontId="55" fillId="3" borderId="3" applyNumberFormat="0" applyAlignment="0" applyProtection="0"/>
    <xf numFmtId="0" fontId="56" fillId="0" borderId="11" applyProtection="0"/>
    <xf numFmtId="0" fontId="57" fillId="0" borderId="12" applyNumberFormat="0" applyFill="0" applyAlignment="0" applyProtection="0"/>
    <xf numFmtId="0" fontId="57" fillId="0" borderId="12" applyNumberFormat="0" applyFill="0" applyAlignment="0" applyProtection="0"/>
    <xf numFmtId="0" fontId="68" fillId="0" borderId="12" applyNumberFormat="0" applyFill="0" applyAlignment="0" applyProtection="0"/>
    <xf numFmtId="0" fontId="94" fillId="0" borderId="12" applyNumberFormat="0" applyFill="0" applyAlignment="0" applyProtection="0"/>
    <xf numFmtId="0" fontId="26" fillId="45" borderId="5" applyNumberFormat="0" applyAlignment="0" applyProtection="0"/>
    <xf numFmtId="0" fontId="26" fillId="45" borderId="5" applyNumberFormat="0" applyAlignment="0" applyProtection="0"/>
    <xf numFmtId="0" fontId="104" fillId="45" borderId="5" applyNumberFormat="0" applyAlignment="0" applyProtection="0"/>
    <xf numFmtId="0" fontId="25" fillId="45" borderId="5" applyNumberFormat="0" applyAlignment="0" applyProtection="0"/>
    <xf numFmtId="0" fontId="58" fillId="0" borderId="12" applyNumberFormat="0" applyFill="0" applyAlignment="0" applyProtection="0"/>
    <xf numFmtId="0" fontId="57" fillId="0" borderId="12" applyNumberFormat="0" applyFill="0" applyAlignment="0" applyProtection="0"/>
    <xf numFmtId="0" fontId="95" fillId="0" borderId="12" applyNumberFormat="0" applyFill="0" applyAlignment="0" applyProtection="0"/>
    <xf numFmtId="0" fontId="59" fillId="0" borderId="8" applyProtection="0"/>
    <xf numFmtId="0" fontId="60" fillId="0" borderId="13" applyProtection="0"/>
    <xf numFmtId="0" fontId="61" fillId="0" borderId="14" applyProtection="0"/>
    <xf numFmtId="0" fontId="61" fillId="0" borderId="14" applyProtection="0"/>
    <xf numFmtId="0" fontId="61" fillId="0" borderId="0" applyBorder="0" applyProtection="0"/>
    <xf numFmtId="0" fontId="62" fillId="0" borderId="16" applyProtection="0"/>
    <xf numFmtId="0" fontId="63" fillId="0" borderId="17" applyNumberFormat="0" applyFill="0" applyAlignment="0" applyProtection="0"/>
    <xf numFmtId="0" fontId="63" fillId="0" borderId="17" applyNumberFormat="0" applyFill="0" applyAlignment="0" applyProtection="0"/>
    <xf numFmtId="0" fontId="105" fillId="0" borderId="15" applyNumberFormat="0" applyFill="0" applyAlignment="0" applyProtection="0"/>
    <xf numFmtId="0" fontId="47" fillId="0" borderId="17" applyNumberFormat="0" applyFill="0" applyAlignment="0" applyProtection="0"/>
    <xf numFmtId="0" fontId="106" fillId="0" borderId="15" applyNumberFormat="0" applyFill="0" applyAlignment="0" applyProtection="0"/>
    <xf numFmtId="0" fontId="64" fillId="0" borderId="13" applyProtection="0"/>
    <xf numFmtId="0" fontId="65" fillId="0" borderId="18" applyNumberFormat="0" applyFill="0" applyAlignment="0" applyProtection="0"/>
    <xf numFmtId="0" fontId="65" fillId="0" borderId="18" applyNumberFormat="0" applyFill="0" applyAlignment="0" applyProtection="0"/>
    <xf numFmtId="0" fontId="107" fillId="0" borderId="9" applyNumberFormat="0" applyFill="0" applyAlignment="0" applyProtection="0"/>
    <xf numFmtId="0" fontId="49" fillId="0" borderId="9" applyNumberFormat="0" applyFill="0" applyAlignment="0" applyProtection="0"/>
    <xf numFmtId="0" fontId="108" fillId="0" borderId="9" applyNumberFormat="0" applyFill="0" applyAlignment="0" applyProtection="0"/>
    <xf numFmtId="0" fontId="66" fillId="0" borderId="10" applyNumberFormat="0" applyFill="0" applyAlignment="0" applyProtection="0"/>
    <xf numFmtId="0" fontId="66" fillId="0" borderId="10" applyNumberFormat="0" applyFill="0" applyAlignment="0" applyProtection="0"/>
    <xf numFmtId="0" fontId="109" fillId="0" borderId="20" applyNumberFormat="0" applyFill="0" applyAlignment="0" applyProtection="0"/>
    <xf numFmtId="0" fontId="52" fillId="0" borderId="19" applyNumberFormat="0" applyFill="0" applyAlignment="0" applyProtection="0"/>
    <xf numFmtId="0" fontId="110" fillId="0" borderId="20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67" fillId="40" borderId="0" applyNumberFormat="0" applyBorder="0" applyAlignment="0" applyProtection="0"/>
    <xf numFmtId="0" fontId="68" fillId="61" borderId="0" applyBorder="0" applyProtection="0"/>
    <xf numFmtId="0" fontId="68" fillId="61" borderId="0" applyBorder="0" applyProtection="0"/>
    <xf numFmtId="0" fontId="69" fillId="62" borderId="0" applyNumberFormat="0" applyBorder="0" applyProtection="0"/>
    <xf numFmtId="0" fontId="69" fillId="13" borderId="0" applyNumberFormat="0" applyBorder="0" applyAlignment="0" applyProtection="0"/>
    <xf numFmtId="0" fontId="70" fillId="63" borderId="0" applyBorder="0" applyProtection="0"/>
    <xf numFmtId="0" fontId="67" fillId="40" borderId="0" applyNumberFormat="0" applyBorder="0" applyAlignment="0" applyProtection="0"/>
    <xf numFmtId="0" fontId="71" fillId="13" borderId="0" applyNumberFormat="0" applyBorder="0" applyAlignment="0" applyProtection="0"/>
    <xf numFmtId="0" fontId="67" fillId="13" borderId="0" applyNumberFormat="0" applyBorder="0" applyAlignment="0" applyProtection="0"/>
    <xf numFmtId="0" fontId="69" fillId="13" borderId="0" applyNumberFormat="0" applyBorder="0" applyAlignment="0" applyProtection="0"/>
    <xf numFmtId="0" fontId="67" fillId="13" borderId="0" applyNumberFormat="0" applyBorder="0" applyAlignment="0" applyProtection="0"/>
    <xf numFmtId="0" fontId="67" fillId="13" borderId="0" applyNumberFormat="0" applyBorder="0" applyAlignment="0" applyProtection="0"/>
    <xf numFmtId="0" fontId="8" fillId="0" borderId="0"/>
    <xf numFmtId="0" fontId="5" fillId="0" borderId="0"/>
    <xf numFmtId="0" fontId="5" fillId="0" borderId="0"/>
    <xf numFmtId="0" fontId="4" fillId="0" borderId="0"/>
    <xf numFmtId="0" fontId="40" fillId="0" borderId="0"/>
    <xf numFmtId="0" fontId="40" fillId="0" borderId="0"/>
    <xf numFmtId="0" fontId="4" fillId="0" borderId="0"/>
    <xf numFmtId="0" fontId="128" fillId="0" borderId="0"/>
    <xf numFmtId="0" fontId="128" fillId="0" borderId="0"/>
    <xf numFmtId="0" fontId="2" fillId="0" borderId="0"/>
    <xf numFmtId="0" fontId="2" fillId="0" borderId="0"/>
    <xf numFmtId="0" fontId="5" fillId="0" borderId="0"/>
    <xf numFmtId="0" fontId="4" fillId="0" borderId="0"/>
    <xf numFmtId="0" fontId="7" fillId="0" borderId="0"/>
    <xf numFmtId="0" fontId="128" fillId="0" borderId="0"/>
    <xf numFmtId="0" fontId="6" fillId="0" borderId="0"/>
    <xf numFmtId="0" fontId="5" fillId="0" borderId="0"/>
    <xf numFmtId="0" fontId="6" fillId="0" borderId="0"/>
    <xf numFmtId="0" fontId="72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128" fillId="0" borderId="0"/>
    <xf numFmtId="0" fontId="42" fillId="0" borderId="0"/>
    <xf numFmtId="0" fontId="5" fillId="0" borderId="0"/>
    <xf numFmtId="0" fontId="42" fillId="0" borderId="0"/>
    <xf numFmtId="0" fontId="6" fillId="0" borderId="0"/>
    <xf numFmtId="0" fontId="5" fillId="0" borderId="0"/>
    <xf numFmtId="0" fontId="128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40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122" fillId="0" borderId="0"/>
    <xf numFmtId="0" fontId="5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130" fillId="0" borderId="0"/>
    <xf numFmtId="0" fontId="9" fillId="0" borderId="0"/>
    <xf numFmtId="0" fontId="6" fillId="0" borderId="0"/>
    <xf numFmtId="0" fontId="9" fillId="0" borderId="0"/>
    <xf numFmtId="0" fontId="130" fillId="0" borderId="0"/>
    <xf numFmtId="0" fontId="2" fillId="0" borderId="0"/>
    <xf numFmtId="0" fontId="5" fillId="0" borderId="0"/>
    <xf numFmtId="0" fontId="6" fillId="0" borderId="0"/>
    <xf numFmtId="0" fontId="2" fillId="0" borderId="0"/>
    <xf numFmtId="0" fontId="5" fillId="0" borderId="0"/>
    <xf numFmtId="0" fontId="5" fillId="0" borderId="0"/>
    <xf numFmtId="0" fontId="122" fillId="0" borderId="0"/>
    <xf numFmtId="0" fontId="6" fillId="0" borderId="0"/>
    <xf numFmtId="0" fontId="5" fillId="33" borderId="21" applyNumberFormat="0" applyFont="0" applyAlignment="0" applyProtection="0"/>
    <xf numFmtId="0" fontId="8" fillId="64" borderId="21" applyNumberFormat="0" applyProtection="0"/>
    <xf numFmtId="0" fontId="8" fillId="64" borderId="21" applyNumberForma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73" fillId="63" borderId="4" applyProtection="0"/>
    <xf numFmtId="0" fontId="73" fillId="63" borderId="4" applyProtection="0"/>
    <xf numFmtId="0" fontId="5" fillId="33" borderId="21" applyNumberFormat="0" applyFont="0" applyAlignment="0" applyProtection="0"/>
    <xf numFmtId="0" fontId="6" fillId="5" borderId="21" applyNumberFormat="0" applyFont="0" applyAlignment="0" applyProtection="0"/>
    <xf numFmtId="0" fontId="6" fillId="5" borderId="21" applyNumberFormat="0" applyFont="0" applyAlignment="0" applyProtection="0"/>
    <xf numFmtId="0" fontId="125" fillId="65" borderId="22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111" fillId="12" borderId="3" applyNumberFormat="0" applyAlignment="0" applyProtection="0"/>
    <xf numFmtId="0" fontId="96" fillId="4" borderId="3" applyNumberFormat="0" applyAlignment="0" applyProtection="0"/>
    <xf numFmtId="0" fontId="96" fillId="12" borderId="3" applyNumberFormat="0" applyAlignment="0" applyProtection="0"/>
    <xf numFmtId="0" fontId="31" fillId="52" borderId="1" applyNumberFormat="0" applyAlignment="0" applyProtection="0"/>
    <xf numFmtId="0" fontId="19" fillId="12" borderId="1" applyNumberFormat="0" applyAlignment="0" applyProtection="0"/>
    <xf numFmtId="0" fontId="19" fillId="52" borderId="1" applyNumberFormat="0" applyAlignment="0" applyProtection="0"/>
    <xf numFmtId="9" fontId="74" fillId="0" borderId="0" applyFont="0" applyFill="0" applyBorder="0" applyAlignment="0" applyProtection="0"/>
    <xf numFmtId="0" fontId="17" fillId="0" borderId="0" applyNumberFormat="0" applyFont="0" applyBorder="0" applyProtection="0">
      <alignment horizontal="left"/>
    </xf>
    <xf numFmtId="0" fontId="112" fillId="0" borderId="0" applyNumberFormat="0" applyFont="0" applyBorder="0" applyProtection="0">
      <alignment horizontal="left"/>
    </xf>
    <xf numFmtId="0" fontId="17" fillId="0" borderId="0" applyNumberFormat="0" applyFont="0" applyBorder="0" applyProtection="0"/>
    <xf numFmtId="0" fontId="112" fillId="0" borderId="0" applyNumberFormat="0" applyFont="0" applyBorder="0" applyProtection="0"/>
    <xf numFmtId="0" fontId="17" fillId="0" borderId="0" applyNumberFormat="0" applyFont="0" applyBorder="0" applyProtection="0"/>
    <xf numFmtId="0" fontId="112" fillId="0" borderId="0" applyNumberFormat="0" applyFont="0" applyBorder="0" applyProtection="0"/>
    <xf numFmtId="0" fontId="75" fillId="0" borderId="0" applyNumberFormat="0" applyBorder="0" applyProtection="0"/>
    <xf numFmtId="0" fontId="114" fillId="0" borderId="0" applyNumberFormat="0" applyBorder="0" applyProtection="0"/>
    <xf numFmtId="0" fontId="113" fillId="0" borderId="0" applyNumberFormat="0" applyBorder="0" applyProtection="0"/>
    <xf numFmtId="0" fontId="75" fillId="0" borderId="0" applyNumberFormat="0" applyBorder="0" applyProtection="0">
      <alignment horizontal="left"/>
    </xf>
    <xf numFmtId="0" fontId="114" fillId="0" borderId="0" applyNumberFormat="0" applyBorder="0" applyProtection="0">
      <alignment horizontal="left"/>
    </xf>
    <xf numFmtId="0" fontId="113" fillId="0" borderId="0" applyNumberFormat="0" applyBorder="0" applyProtection="0">
      <alignment horizontal="left"/>
    </xf>
    <xf numFmtId="0" fontId="17" fillId="0" borderId="0" applyNumberFormat="0" applyFont="0" applyBorder="0" applyProtection="0"/>
    <xf numFmtId="0" fontId="112" fillId="0" borderId="0" applyNumberFormat="0" applyFont="0" applyBorder="0" applyProtection="0"/>
    <xf numFmtId="9" fontId="6" fillId="0" borderId="0" applyFill="0" applyBorder="0" applyAlignment="0" applyProtection="0"/>
    <xf numFmtId="9" fontId="5" fillId="0" borderId="0" applyFont="0" applyFill="0" applyBorder="0" applyAlignment="0" applyProtection="0"/>
    <xf numFmtId="9" fontId="6" fillId="0" borderId="0" applyFill="0" applyBorder="0" applyAlignment="0" applyProtection="0"/>
    <xf numFmtId="9" fontId="5" fillId="0" borderId="0" applyFont="0" applyFill="0" applyBorder="0" applyAlignment="0" applyProtection="0"/>
    <xf numFmtId="0" fontId="76" fillId="0" borderId="0"/>
    <xf numFmtId="166" fontId="76" fillId="0" borderId="0"/>
    <xf numFmtId="0" fontId="21" fillId="8" borderId="0" applyNumberFormat="0" applyBorder="0" applyAlignment="0" applyProtection="0"/>
    <xf numFmtId="0" fontId="77" fillId="0" borderId="0" applyNumberFormat="0" applyFill="0" applyBorder="0" applyAlignment="0" applyProtection="0"/>
    <xf numFmtId="0" fontId="40" fillId="0" borderId="0"/>
    <xf numFmtId="0" fontId="74" fillId="0" borderId="0"/>
    <xf numFmtId="0" fontId="74" fillId="0" borderId="0"/>
    <xf numFmtId="0" fontId="115" fillId="0" borderId="0"/>
    <xf numFmtId="0" fontId="40" fillId="0" borderId="0" applyNumberFormat="0" applyFont="0" applyBorder="0" applyProtection="0"/>
    <xf numFmtId="0" fontId="40" fillId="0" borderId="0" applyNumberFormat="0" applyFont="0" applyBorder="0" applyProtection="0"/>
    <xf numFmtId="0" fontId="40" fillId="0" borderId="0"/>
    <xf numFmtId="0" fontId="74" fillId="0" borderId="0"/>
    <xf numFmtId="0" fontId="40" fillId="0" borderId="0"/>
    <xf numFmtId="0" fontId="78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73" fillId="0" borderId="0" applyBorder="0" applyProtection="0"/>
    <xf numFmtId="0" fontId="73" fillId="0" borderId="0" applyBorder="0" applyProtection="0"/>
    <xf numFmtId="0" fontId="17" fillId="0" borderId="0" applyNumberFormat="0" applyFont="0" applyBorder="0" applyProtection="0"/>
    <xf numFmtId="0" fontId="35" fillId="0" borderId="23" applyNumberFormat="0" applyFill="0" applyAlignment="0" applyProtection="0"/>
    <xf numFmtId="0" fontId="35" fillId="0" borderId="23" applyNumberFormat="0" applyFill="0" applyAlignment="0" applyProtection="0"/>
    <xf numFmtId="0" fontId="116" fillId="0" borderId="23" applyNumberFormat="0" applyFill="0" applyAlignment="0" applyProtection="0"/>
    <xf numFmtId="0" fontId="35" fillId="0" borderId="6" applyNumberFormat="0" applyFill="0" applyAlignment="0" applyProtection="0"/>
    <xf numFmtId="0" fontId="40" fillId="0" borderId="0"/>
    <xf numFmtId="0" fontId="79" fillId="0" borderId="0" applyBorder="0" applyProtection="0"/>
    <xf numFmtId="0" fontId="6" fillId="0" borderId="0"/>
    <xf numFmtId="0" fontId="6" fillId="0" borderId="0"/>
    <xf numFmtId="0" fontId="11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7" fillId="0" borderId="0" applyBorder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3" fillId="0" borderId="0" applyBorder="0" applyProtection="0"/>
    <xf numFmtId="0" fontId="73" fillId="0" borderId="0" applyBorder="0" applyProtection="0"/>
    <xf numFmtId="0" fontId="17" fillId="0" borderId="0" applyNumberFormat="0" applyFont="0" applyBorder="0" applyProtection="0"/>
    <xf numFmtId="0" fontId="82" fillId="0" borderId="0" applyNumberFormat="0" applyFill="0" applyBorder="0" applyAlignment="0" applyProtection="0"/>
    <xf numFmtId="0" fontId="83" fillId="0" borderId="6" applyNumberFormat="0" applyFill="0" applyAlignment="0" applyProtection="0"/>
    <xf numFmtId="0" fontId="83" fillId="0" borderId="6" applyNumberFormat="0" applyFill="0" applyAlignment="0" applyProtection="0"/>
    <xf numFmtId="0" fontId="35" fillId="0" borderId="7" applyNumberFormat="0" applyFill="0" applyAlignment="0" applyProtection="0"/>
    <xf numFmtId="0" fontId="36" fillId="0" borderId="23" applyNumberFormat="0" applyFill="0" applyAlignment="0" applyProtection="0"/>
    <xf numFmtId="0" fontId="36" fillId="0" borderId="7" applyNumberFormat="0" applyFill="0" applyAlignment="0" applyProtection="0"/>
    <xf numFmtId="0" fontId="84" fillId="0" borderId="0" applyBorder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63" fillId="0" borderId="17" applyNumberFormat="0" applyFill="0" applyAlignment="0" applyProtection="0"/>
    <xf numFmtId="0" fontId="65" fillId="0" borderId="18" applyNumberFormat="0" applyFill="0" applyAlignment="0" applyProtection="0"/>
    <xf numFmtId="0" fontId="66" fillId="0" borderId="10" applyNumberFormat="0" applyFill="0" applyAlignment="0" applyProtection="0"/>
    <xf numFmtId="0" fontId="66" fillId="0" borderId="10" applyNumberFormat="0" applyFill="0" applyAlignment="0" applyProtection="0"/>
    <xf numFmtId="0" fontId="61" fillId="0" borderId="14" applyProtection="0"/>
    <xf numFmtId="0" fontId="6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12" borderId="1" applyNumberFormat="0" applyAlignment="0" applyProtection="0"/>
    <xf numFmtId="0" fontId="86" fillId="12" borderId="1" applyNumberFormat="0" applyAlignment="0" applyProtection="0"/>
    <xf numFmtId="0" fontId="6" fillId="5" borderId="21" applyNumberFormat="0" applyFont="0" applyAlignment="0" applyProtection="0"/>
    <xf numFmtId="0" fontId="6" fillId="5" borderId="21" applyNumberFormat="0" applyFont="0" applyAlignment="0" applyProtection="0"/>
    <xf numFmtId="0" fontId="7" fillId="5" borderId="21" applyNumberFormat="0" applyFont="0" applyAlignment="0" applyProtection="0"/>
    <xf numFmtId="0" fontId="5" fillId="5" borderId="21" applyNumberFormat="0" applyFont="0" applyAlignment="0" applyProtection="0"/>
    <xf numFmtId="0" fontId="87" fillId="0" borderId="0" applyNumberFormat="0" applyFill="0" applyBorder="0" applyAlignment="0" applyProtection="0"/>
    <xf numFmtId="0" fontId="57" fillId="0" borderId="12" applyNumberFormat="0" applyFill="0" applyAlignment="0" applyProtection="0"/>
    <xf numFmtId="0" fontId="88" fillId="0" borderId="0" applyNumberFormat="0" applyFill="0" applyBorder="0" applyAlignment="0" applyProtection="0"/>
    <xf numFmtId="4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22" fillId="0" borderId="0" applyBorder="0" applyProtection="0"/>
    <xf numFmtId="0" fontId="22" fillId="0" borderId="0" applyBorder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9" fillId="66" borderId="0" applyBorder="0" applyProtection="0"/>
    <xf numFmtId="0" fontId="26" fillId="45" borderId="5" applyNumberFormat="0" applyAlignment="0" applyProtection="0"/>
    <xf numFmtId="0" fontId="90" fillId="8" borderId="0" applyNumberFormat="0" applyBorder="0" applyAlignment="0" applyProtection="0"/>
    <xf numFmtId="0" fontId="91" fillId="8" borderId="0" applyNumberFormat="0" applyBorder="0" applyAlignment="0" applyProtection="0"/>
    <xf numFmtId="0" fontId="21" fillId="8" borderId="0" applyNumberFormat="0" applyBorder="0" applyAlignment="0" applyProtection="0"/>
    <xf numFmtId="0" fontId="91" fillId="8" borderId="0" applyNumberFormat="0" applyBorder="0" applyAlignment="0" applyProtection="0"/>
    <xf numFmtId="0" fontId="98" fillId="8" borderId="0" applyNumberFormat="0" applyBorder="0" applyAlignment="0" applyProtection="0"/>
    <xf numFmtId="0" fontId="6" fillId="0" borderId="0"/>
  </cellStyleXfs>
  <cellXfs count="92">
    <xf numFmtId="0" fontId="0" fillId="0" borderId="0" xfId="0"/>
    <xf numFmtId="0" fontId="0" fillId="0" borderId="24" xfId="0" applyBorder="1"/>
    <xf numFmtId="0" fontId="0" fillId="0" borderId="25" xfId="0" applyBorder="1"/>
    <xf numFmtId="0" fontId="129" fillId="0" borderId="25" xfId="455" applyFont="1" applyBorder="1"/>
    <xf numFmtId="14" fontId="0" fillId="0" borderId="25" xfId="0" applyNumberFormat="1" applyBorder="1"/>
    <xf numFmtId="9" fontId="0" fillId="0" borderId="25" xfId="0" applyNumberFormat="1" applyBorder="1"/>
    <xf numFmtId="0" fontId="0" fillId="0" borderId="27" xfId="0" applyBorder="1"/>
    <xf numFmtId="0" fontId="0" fillId="0" borderId="28" xfId="0" applyBorder="1"/>
    <xf numFmtId="167" fontId="0" fillId="0" borderId="28" xfId="0" applyNumberFormat="1" applyBorder="1"/>
    <xf numFmtId="0" fontId="0" fillId="67" borderId="30" xfId="0" applyFill="1" applyBorder="1"/>
    <xf numFmtId="0" fontId="1" fillId="68" borderId="29" xfId="0" applyFont="1" applyFill="1" applyBorder="1"/>
    <xf numFmtId="0" fontId="1" fillId="69" borderId="30" xfId="0" applyFont="1" applyFill="1" applyBorder="1"/>
    <xf numFmtId="0" fontId="0" fillId="68" borderId="32" xfId="0" applyFill="1" applyBorder="1"/>
    <xf numFmtId="0" fontId="0" fillId="0" borderId="33" xfId="0" applyBorder="1"/>
    <xf numFmtId="0" fontId="0" fillId="0" borderId="34" xfId="0" applyBorder="1"/>
    <xf numFmtId="0" fontId="1" fillId="0" borderId="35" xfId="0" applyFont="1" applyBorder="1" applyAlignment="1">
      <alignment horizontal="center" vertical="center"/>
    </xf>
    <xf numFmtId="0" fontId="0" fillId="0" borderId="35" xfId="0" applyBorder="1"/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0" borderId="36" xfId="0" applyFill="1" applyBorder="1"/>
    <xf numFmtId="0" fontId="100" fillId="0" borderId="37" xfId="0" applyFont="1" applyBorder="1" applyAlignment="1">
      <alignment horizontal="center" vertical="center"/>
    </xf>
    <xf numFmtId="0" fontId="100" fillId="0" borderId="38" xfId="0" applyFont="1" applyBorder="1" applyAlignment="1">
      <alignment horizontal="center" vertical="center"/>
    </xf>
    <xf numFmtId="0" fontId="100" fillId="0" borderId="39" xfId="0" applyFont="1" applyBorder="1" applyAlignment="1">
      <alignment horizontal="center" vertical="center"/>
    </xf>
    <xf numFmtId="0" fontId="0" fillId="0" borderId="40" xfId="0" applyBorder="1"/>
    <xf numFmtId="0" fontId="99" fillId="71" borderId="32" xfId="0" applyFont="1" applyFill="1" applyBorder="1"/>
    <xf numFmtId="0" fontId="99" fillId="72" borderId="32" xfId="0" applyFont="1" applyFill="1" applyBorder="1"/>
    <xf numFmtId="0" fontId="2" fillId="0" borderId="0" xfId="572"/>
    <xf numFmtId="0" fontId="0" fillId="73" borderId="24" xfId="0" applyFill="1" applyBorder="1"/>
    <xf numFmtId="0" fontId="0" fillId="73" borderId="25" xfId="0" applyFill="1" applyBorder="1"/>
    <xf numFmtId="0" fontId="1" fillId="74" borderId="41" xfId="0" applyFont="1" applyFill="1" applyBorder="1"/>
    <xf numFmtId="0" fontId="1" fillId="74" borderId="42" xfId="0" applyFont="1" applyFill="1" applyBorder="1"/>
    <xf numFmtId="0" fontId="0" fillId="73" borderId="43" xfId="0" applyFill="1" applyBorder="1"/>
    <xf numFmtId="0" fontId="0" fillId="73" borderId="44" xfId="0" applyFill="1" applyBorder="1"/>
    <xf numFmtId="0" fontId="0" fillId="0" borderId="43" xfId="0" applyBorder="1"/>
    <xf numFmtId="0" fontId="0" fillId="0" borderId="44" xfId="0" applyBorder="1"/>
    <xf numFmtId="0" fontId="0" fillId="73" borderId="26" xfId="0" applyFill="1" applyBorder="1"/>
    <xf numFmtId="0" fontId="0" fillId="73" borderId="27" xfId="0" applyFill="1" applyBorder="1"/>
    <xf numFmtId="0" fontId="0" fillId="73" borderId="33" xfId="0" applyFill="1" applyBorder="1"/>
    <xf numFmtId="0" fontId="0" fillId="73" borderId="31" xfId="0" applyFill="1" applyBorder="1"/>
    <xf numFmtId="0" fontId="0" fillId="0" borderId="46" xfId="0" applyBorder="1" applyAlignment="1">
      <alignment horizontal="center" vertical="center"/>
    </xf>
    <xf numFmtId="0" fontId="119" fillId="0" borderId="0" xfId="0" applyFont="1"/>
    <xf numFmtId="0" fontId="120" fillId="0" borderId="0" xfId="525" applyFont="1"/>
    <xf numFmtId="49" fontId="121" fillId="0" borderId="0" xfId="0" applyNumberFormat="1" applyFont="1"/>
    <xf numFmtId="0" fontId="0" fillId="0" borderId="0" xfId="0" applyAlignment="1">
      <alignment horizontal="left"/>
    </xf>
    <xf numFmtId="49" fontId="0" fillId="0" borderId="0" xfId="0" applyNumberFormat="1"/>
    <xf numFmtId="0" fontId="5" fillId="0" borderId="0" xfId="573"/>
    <xf numFmtId="0" fontId="122" fillId="0" borderId="28" xfId="575" applyBorder="1"/>
    <xf numFmtId="0" fontId="6" fillId="0" borderId="0" xfId="571"/>
    <xf numFmtId="0" fontId="126" fillId="0" borderId="47" xfId="573" applyFont="1" applyBorder="1"/>
    <xf numFmtId="0" fontId="5" fillId="0" borderId="0" xfId="570"/>
    <xf numFmtId="49" fontId="0" fillId="0" borderId="48" xfId="0" applyNumberFormat="1" applyBorder="1"/>
    <xf numFmtId="49" fontId="0" fillId="0" borderId="49" xfId="0" applyNumberFormat="1" applyBorder="1"/>
    <xf numFmtId="49" fontId="0" fillId="0" borderId="50" xfId="0" applyNumberFormat="1" applyBorder="1"/>
    <xf numFmtId="49" fontId="0" fillId="76" borderId="51" xfId="0" applyNumberFormat="1" applyFill="1" applyBorder="1"/>
    <xf numFmtId="49" fontId="0" fillId="76" borderId="52" xfId="0" applyNumberFormat="1" applyFill="1" applyBorder="1"/>
    <xf numFmtId="49" fontId="123" fillId="0" borderId="50" xfId="0" applyNumberFormat="1" applyFont="1" applyBorder="1"/>
    <xf numFmtId="49" fontId="123" fillId="0" borderId="0" xfId="0" applyNumberFormat="1" applyFont="1"/>
    <xf numFmtId="49" fontId="123" fillId="0" borderId="51" xfId="0" applyNumberFormat="1" applyFont="1" applyBorder="1"/>
    <xf numFmtId="49" fontId="123" fillId="0" borderId="52" xfId="0" applyNumberFormat="1" applyFont="1" applyBorder="1"/>
    <xf numFmtId="0" fontId="0" fillId="0" borderId="49" xfId="0" applyBorder="1"/>
    <xf numFmtId="0" fontId="0" fillId="0" borderId="52" xfId="0" applyBorder="1"/>
    <xf numFmtId="0" fontId="5" fillId="0" borderId="49" xfId="570" applyBorder="1"/>
    <xf numFmtId="0" fontId="0" fillId="0" borderId="55" xfId="0" applyBorder="1" applyAlignment="1">
      <alignment horizontal="center" vertical="center"/>
    </xf>
    <xf numFmtId="0" fontId="0" fillId="0" borderId="48" xfId="0" applyBorder="1"/>
    <xf numFmtId="0" fontId="0" fillId="0" borderId="50" xfId="0" applyBorder="1"/>
    <xf numFmtId="0" fontId="5" fillId="0" borderId="54" xfId="573" applyBorder="1"/>
    <xf numFmtId="49" fontId="0" fillId="0" borderId="51" xfId="0" applyNumberFormat="1" applyBorder="1"/>
    <xf numFmtId="0" fontId="5" fillId="0" borderId="56" xfId="573" applyBorder="1"/>
    <xf numFmtId="0" fontId="0" fillId="0" borderId="0" xfId="0" quotePrefix="1"/>
    <xf numFmtId="0" fontId="6" fillId="0" borderId="0" xfId="576"/>
    <xf numFmtId="0" fontId="5" fillId="0" borderId="0" xfId="574"/>
    <xf numFmtId="0" fontId="5" fillId="0" borderId="53" xfId="573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131" fillId="0" borderId="35" xfId="0" applyFont="1" applyBorder="1"/>
    <xf numFmtId="0" fontId="0" fillId="77" borderId="60" xfId="0" applyFill="1" applyBorder="1"/>
    <xf numFmtId="0" fontId="6" fillId="0" borderId="28" xfId="704" applyBorder="1"/>
    <xf numFmtId="0" fontId="99" fillId="71" borderId="29" xfId="0" applyFont="1" applyFill="1" applyBorder="1"/>
    <xf numFmtId="0" fontId="0" fillId="0" borderId="31" xfId="0" applyBorder="1"/>
    <xf numFmtId="0" fontId="0" fillId="0" borderId="26" xfId="0" applyBorder="1"/>
    <xf numFmtId="0" fontId="99" fillId="72" borderId="29" xfId="0" applyFont="1" applyFill="1" applyBorder="1"/>
    <xf numFmtId="0" fontId="1" fillId="74" borderId="45" xfId="0" applyFont="1" applyFill="1" applyBorder="1"/>
    <xf numFmtId="0" fontId="1" fillId="74" borderId="24" xfId="0" applyFont="1" applyFill="1" applyBorder="1"/>
    <xf numFmtId="0" fontId="1" fillId="0" borderId="24" xfId="0" applyFont="1" applyBorder="1"/>
    <xf numFmtId="0" fontId="1" fillId="67" borderId="29" xfId="0" applyFont="1" applyFill="1" applyBorder="1"/>
    <xf numFmtId="0" fontId="1" fillId="69" borderId="29" xfId="0" applyFont="1" applyFill="1" applyBorder="1"/>
    <xf numFmtId="0" fontId="0" fillId="75" borderId="24" xfId="0" applyFill="1" applyBorder="1"/>
    <xf numFmtId="0" fontId="101" fillId="75" borderId="24" xfId="0" applyFont="1" applyFill="1" applyBorder="1"/>
    <xf numFmtId="0" fontId="81" fillId="0" borderId="24" xfId="0" applyFont="1" applyBorder="1"/>
  </cellXfs>
  <cellStyles count="705">
    <cellStyle name="20 % - Akzent1" xfId="1" xr:uid="{9CCD1990-630B-43E9-8918-A1FA299A1FB5}"/>
    <cellStyle name="20 % - Akzent2" xfId="2" xr:uid="{77BD5598-D9EA-4CD6-A5A4-648FA16D68D9}"/>
    <cellStyle name="20 % - Akzent3" xfId="3" xr:uid="{D5D2FD51-A111-4084-B035-52C6A8F67515}"/>
    <cellStyle name="20 % - Akzent4" xfId="4" xr:uid="{5428B4E6-930B-4C8D-8D2E-27D6750587EE}"/>
    <cellStyle name="20 % - Akzent5" xfId="5" xr:uid="{2BB8FBD7-FF99-41B1-8E8E-5373257F01F7}"/>
    <cellStyle name="20 % - Akzent6" xfId="6" xr:uid="{D2B4EB51-5B2A-48BF-B3C0-211A4281380C}"/>
    <cellStyle name="20% - Accent1" xfId="7" xr:uid="{C367B872-0034-4AC0-9A1C-1CC3DBFF5B9C}"/>
    <cellStyle name="20% - Accent1 2" xfId="8" xr:uid="{25AAE751-F7D7-4C7F-8F56-B5FF9CDCB9C0}"/>
    <cellStyle name="20% - Accent1_def" xfId="9" xr:uid="{34BA3AE9-2AC7-465B-BDEA-0800779318F7}"/>
    <cellStyle name="20% - Accent2" xfId="10" xr:uid="{7BBA23B5-6DE3-4B39-8D57-287C6E433FC7}"/>
    <cellStyle name="20% - Accent2 2" xfId="11" xr:uid="{E9970491-94EB-49EA-932A-292E3AA619E2}"/>
    <cellStyle name="20% - Accent2_def" xfId="12" xr:uid="{8FE03683-2942-4091-A57F-50B2AE014398}"/>
    <cellStyle name="20% - Accent3" xfId="13" xr:uid="{61FECC5E-949E-4D11-8BD4-690BA727098E}"/>
    <cellStyle name="20% - Accent3 2" xfId="14" xr:uid="{9010FD6C-75E2-4500-8CA3-5BCD8C80DE7C}"/>
    <cellStyle name="20% - Accent3_def" xfId="15" xr:uid="{B3B42AE0-0EB1-4592-8300-D73D1D426DF9}"/>
    <cellStyle name="20% - Accent4" xfId="16" xr:uid="{3B96068C-CE51-4015-A400-93DE2A7E4964}"/>
    <cellStyle name="20% - Accent4 2" xfId="17" xr:uid="{7C91B473-D519-494D-8579-AC34FA78A9D1}"/>
    <cellStyle name="20% - Accent4_def" xfId="18" xr:uid="{BCAA0947-F459-47E4-9F9A-BA09CEB273FD}"/>
    <cellStyle name="20% - Accent5" xfId="19" xr:uid="{6357E47A-FBC8-47C0-A97C-915A32B199AB}"/>
    <cellStyle name="20% - Accent5 2" xfId="20" xr:uid="{E7A24D4D-9D91-438A-88EA-65CA46219A97}"/>
    <cellStyle name="20% - Accent5_def" xfId="21" xr:uid="{CC8DC658-9074-4907-9924-93C83611CEF3}"/>
    <cellStyle name="20% - Accent6" xfId="22" xr:uid="{8F0CF5F2-052C-4FE4-9C8F-1BEB1C0CEAD6}"/>
    <cellStyle name="20% - Accent6 2" xfId="23" xr:uid="{B704C9E4-D250-4B65-8F28-4E87964C2BB6}"/>
    <cellStyle name="20% - Accent6_def" xfId="24" xr:uid="{E6992B45-B3B2-4294-99A4-AB7AA097740A}"/>
    <cellStyle name="20% - akcent 1" xfId="25" xr:uid="{F999ECBC-8E44-4B48-9003-D3DEE4CED195}"/>
    <cellStyle name="20% - akcent 1 2" xfId="26" xr:uid="{FF429123-0D4D-4827-BE4E-F8D35D3D3C17}"/>
    <cellStyle name="20% — akcent 1 2" xfId="27" xr:uid="{45699AB5-F1A8-4767-8437-06595BB5831D}"/>
    <cellStyle name="20% — akcent 1 3" xfId="28" xr:uid="{807329BE-1654-41AE-A881-2459769D4D67}"/>
    <cellStyle name="20% — akcent 1 4" xfId="29" xr:uid="{2B895786-A37C-4361-B2BA-114C80522209}"/>
    <cellStyle name="20% — akcent 1 5" xfId="30" xr:uid="{F0D0AC96-33AB-42C7-BBDE-C5D8F855428A}"/>
    <cellStyle name="20% - akcent 1_03ceny36" xfId="31" xr:uid="{B389EF93-58D3-4448-B415-FEB1706D2AFA}"/>
    <cellStyle name="20% - akcent 2" xfId="32" xr:uid="{9FD84099-E37D-4A6D-9097-0D53267C193A}"/>
    <cellStyle name="20% - akcent 2 2" xfId="33" xr:uid="{AD43E759-BB48-4126-8DB8-F8913977D751}"/>
    <cellStyle name="20% — akcent 2 2" xfId="34" xr:uid="{C5F58D31-7F43-4738-AC6F-F1FD16CCD21E}"/>
    <cellStyle name="20% — akcent 2 3" xfId="35" xr:uid="{47F426D9-951F-4EDB-B818-3771736D80F4}"/>
    <cellStyle name="20% — akcent 2 4" xfId="36" xr:uid="{FD8C4214-1C24-4114-8AC5-1AF7B121230C}"/>
    <cellStyle name="20% — akcent 2 5" xfId="37" xr:uid="{034328F5-DE80-4FE3-8149-CA6000EC6082}"/>
    <cellStyle name="20% - akcent 2_03ceny36" xfId="38" xr:uid="{0FC92633-B8DB-4E82-B456-C91C38BC3625}"/>
    <cellStyle name="20% - akcent 3" xfId="39" xr:uid="{58723FB0-A795-418B-9EB1-768DAC262291}"/>
    <cellStyle name="20% - akcent 3 2" xfId="40" xr:uid="{07F562DD-0D37-4ABC-8E59-0FEAB9804A25}"/>
    <cellStyle name="20% — akcent 3 2" xfId="41" xr:uid="{6A29E301-F128-4342-BE07-46F7737797B8}"/>
    <cellStyle name="20% — akcent 3 3" xfId="42" xr:uid="{44B86789-0493-4780-A01E-121E24957CA0}"/>
    <cellStyle name="20% — akcent 3 4" xfId="43" xr:uid="{2621138D-7300-4735-AF48-0885A6633FFF}"/>
    <cellStyle name="20% — akcent 3 5" xfId="44" xr:uid="{43C67DC9-963E-4DA6-A692-13F953213E07}"/>
    <cellStyle name="20% - akcent 3_03ceny36" xfId="45" xr:uid="{F50B0379-A3CD-4021-B70E-E590606B21D4}"/>
    <cellStyle name="20% - akcent 4" xfId="46" xr:uid="{B55BEBF0-F5FA-4C62-B34A-AA61865BE75B}"/>
    <cellStyle name="20% - akcent 4 2" xfId="47" xr:uid="{ED29246D-C0C4-4A8C-A3AF-CC5E2281DB4B}"/>
    <cellStyle name="20% — akcent 4 2" xfId="48" xr:uid="{521142FD-B76D-45C3-A794-80F8A5ACF04A}"/>
    <cellStyle name="20% — akcent 4 3" xfId="49" xr:uid="{C06A5CD0-E9AF-4D7A-AA24-47FEE2162FF5}"/>
    <cellStyle name="20% — akcent 4 4" xfId="50" xr:uid="{665442D6-4A6E-48F1-88DF-F39198174A4B}"/>
    <cellStyle name="20% — akcent 4 5" xfId="51" xr:uid="{026FA31A-F508-4E95-849A-4892D57BAA3B}"/>
    <cellStyle name="20% - akcent 4_03ceny36" xfId="52" xr:uid="{B949B4A2-E700-4ADD-84D1-5B5813FD334B}"/>
    <cellStyle name="20% - akcent 5" xfId="53" xr:uid="{7192F1D8-53B7-43BB-B143-35FEE3A655C3}"/>
    <cellStyle name="20% - akcent 5 2" xfId="54" xr:uid="{3EA2DBAB-1F1C-4EFA-B313-7B4E85C0BE31}"/>
    <cellStyle name="20% — akcent 5 2" xfId="55" xr:uid="{CCE904D3-F2AC-4BB4-9565-ED73DABDA874}"/>
    <cellStyle name="20% — akcent 5 3" xfId="56" xr:uid="{250C42B4-493A-40A7-A1C0-E62C2A4D5EA2}"/>
    <cellStyle name="20% - akcent 5_03ceny36" xfId="57" xr:uid="{FB6884EC-10B0-4CA1-81FE-7EF07E7D0973}"/>
    <cellStyle name="20% - akcent 6" xfId="58" xr:uid="{3D1C78EC-7061-45A5-8853-C33585E51D52}"/>
    <cellStyle name="20% - akcent 6 2" xfId="59" xr:uid="{13A0519C-5965-4FEC-847C-3658D73179E3}"/>
    <cellStyle name="20% — akcent 6 2" xfId="60" xr:uid="{A92D2177-F8A1-4FCD-945D-B27D1A4F0858}"/>
    <cellStyle name="20% — akcent 6 3" xfId="61" xr:uid="{664EF550-26CC-414D-90F5-5B9F08D1AC46}"/>
    <cellStyle name="20% - akcent 6_03ceny36" xfId="62" xr:uid="{F81638E8-6A93-4BBC-95F0-8525F6E1DE6C}"/>
    <cellStyle name="40 % - Akzent1" xfId="63" xr:uid="{566DC449-D7F6-4A50-8244-92E116AF2AC7}"/>
    <cellStyle name="40 % - Akzent2" xfId="64" xr:uid="{88F1BE8F-2668-482C-8984-46B810C6899E}"/>
    <cellStyle name="40 % - Akzent3" xfId="65" xr:uid="{3DD897E1-EAA7-4223-AAA5-31D8E7D48940}"/>
    <cellStyle name="40 % - Akzent4" xfId="66" xr:uid="{A595ACD9-AC1C-484A-8F35-E77209D78861}"/>
    <cellStyle name="40 % - Akzent5" xfId="67" xr:uid="{649D77EB-82CF-4ED8-89CC-BA0518EB5BED}"/>
    <cellStyle name="40 % - Akzent6" xfId="68" xr:uid="{A1E986CB-2541-44C6-B34E-050496CBF46E}"/>
    <cellStyle name="40% - Accent1" xfId="69" xr:uid="{AF960F1C-6E09-4A79-BAB8-EFE850235385}"/>
    <cellStyle name="40% - Accent1 2" xfId="70" xr:uid="{AB91ECDD-1A16-47FF-AC33-2520F9DD1713}"/>
    <cellStyle name="40% - Accent1_def" xfId="71" xr:uid="{8FD695B4-7CF0-4D5B-B0F1-477C62F0DEA9}"/>
    <cellStyle name="40% - Accent2" xfId="72" xr:uid="{1873EAE4-9BC5-4782-81BA-F17504FB49DD}"/>
    <cellStyle name="40% - Accent2 2" xfId="73" xr:uid="{C548118D-EF89-44DE-B5A0-5122F3E1B867}"/>
    <cellStyle name="40% - Accent2_def" xfId="74" xr:uid="{6DEFB1D6-6F98-4689-8A3E-E63EB85855CB}"/>
    <cellStyle name="40% - Accent3" xfId="75" xr:uid="{78DCEB11-245F-4E59-825A-FE9297CD560D}"/>
    <cellStyle name="40% - Accent3 2" xfId="76" xr:uid="{029B4FB5-FB9B-407F-AC48-069864D794CB}"/>
    <cellStyle name="40% - Accent3_def" xfId="77" xr:uid="{EA326B24-2AE2-4E45-AB70-C3232B47E232}"/>
    <cellStyle name="40% - Accent4" xfId="78" xr:uid="{0E043F0F-E916-486F-B721-ED0025C5C894}"/>
    <cellStyle name="40% - Accent4 2" xfId="79" xr:uid="{3F505CD1-7754-4DFA-8B03-97CCF22ACD17}"/>
    <cellStyle name="40% - Accent4_def" xfId="80" xr:uid="{A4B79046-2200-44AF-A773-F3661C9F4E78}"/>
    <cellStyle name="40% - Accent5" xfId="81" xr:uid="{59BD9C34-BDBC-4A3B-9BB3-87EF28972ED4}"/>
    <cellStyle name="40% - Accent5 2" xfId="82" xr:uid="{8DE2C513-09E7-4165-81B0-5A7E4ACF8EC2}"/>
    <cellStyle name="40% - Accent5_def" xfId="83" xr:uid="{3368DE25-1F43-402B-9B3F-E637CC700B6A}"/>
    <cellStyle name="40% - Accent6" xfId="84" xr:uid="{3CBD2916-53C2-4C1B-85D2-081DCC154494}"/>
    <cellStyle name="40% - Accent6 2" xfId="85" xr:uid="{A6DC0868-48AB-4A42-9078-CDA62FA83CD8}"/>
    <cellStyle name="40% - Accent6_def" xfId="86" xr:uid="{F0C21DB4-D5AD-40C3-BBD4-74A24FAF0CA1}"/>
    <cellStyle name="40% - akcent 1" xfId="87" xr:uid="{6A21338C-F83F-4620-BDD0-2FB607DDB730}"/>
    <cellStyle name="40% - akcent 1 2" xfId="88" xr:uid="{5639EE15-7255-47C9-8A16-5B36F317D4DE}"/>
    <cellStyle name="40% — akcent 1 2" xfId="89" xr:uid="{33828C2C-13B4-4F8D-85A3-E8B1FE52EB04}"/>
    <cellStyle name="40% — akcent 1 3" xfId="90" xr:uid="{9E9ED95A-83A5-4DC1-A2DB-7BCBFCFDC7DD}"/>
    <cellStyle name="40% — akcent 1 4" xfId="91" xr:uid="{B87B90C0-FE70-48EA-A3B6-6B2145DA6B60}"/>
    <cellStyle name="40% — akcent 1 5" xfId="92" xr:uid="{FE46D61C-37DC-461B-B5D9-F094D588AF43}"/>
    <cellStyle name="40% - akcent 1_03ceny36" xfId="93" xr:uid="{735B1CE4-0622-4E84-985A-CEDBE0B169F5}"/>
    <cellStyle name="40% - akcent 2" xfId="94" xr:uid="{44894761-1A21-4B3E-A0D1-116169079AC7}"/>
    <cellStyle name="40% - akcent 2 2" xfId="95" xr:uid="{9BE15ED6-5A51-407B-97E7-2831AAA1894C}"/>
    <cellStyle name="40% — akcent 2 2" xfId="96" xr:uid="{8E01348B-332A-4E44-B880-A0CA223113F1}"/>
    <cellStyle name="40% — akcent 2 3" xfId="97" xr:uid="{0030A468-5863-4159-BDA4-CD7839F65507}"/>
    <cellStyle name="40% - akcent 2_03ceny36" xfId="98" xr:uid="{16E9736A-BF06-4F40-BAE5-0C5F8399C4E3}"/>
    <cellStyle name="40% - akcent 3" xfId="99" xr:uid="{446CC11A-1436-4B32-9AFB-32993AB6AA2D}"/>
    <cellStyle name="40% - akcent 3 2" xfId="100" xr:uid="{E334A4D1-17F2-43CF-B078-EFFE81F86097}"/>
    <cellStyle name="40% — akcent 3 2" xfId="101" xr:uid="{8D717711-7CD0-4AD9-ABAE-6DFAEFF75DC1}"/>
    <cellStyle name="40% — akcent 3 3" xfId="102" xr:uid="{0857E89D-5A7A-4C37-9B4B-EFAB02D49C2D}"/>
    <cellStyle name="40% — akcent 3 4" xfId="103" xr:uid="{0BD235C8-1E8B-42F7-BFC9-256E2875D906}"/>
    <cellStyle name="40% — akcent 3 5" xfId="104" xr:uid="{93B5EE5B-5721-46BD-AB31-6CD4652C3632}"/>
    <cellStyle name="40% - akcent 3_03ceny36" xfId="105" xr:uid="{C1F7C425-F451-44AA-830E-3BE978B4CF50}"/>
    <cellStyle name="40% - akcent 4" xfId="106" xr:uid="{8D82588F-17F7-43C2-9FEA-4F38C5A7E55F}"/>
    <cellStyle name="40% - akcent 4 2" xfId="107" xr:uid="{9790C66F-D077-4235-9644-F0AD0385485A}"/>
    <cellStyle name="40% — akcent 4 2" xfId="108" xr:uid="{7438B20B-A09F-4F32-B033-CDA5C0CF82A1}"/>
    <cellStyle name="40% — akcent 4 3" xfId="109" xr:uid="{6CE59EDC-DF35-4877-A489-98C2A874DE0E}"/>
    <cellStyle name="40% — akcent 4 4" xfId="110" xr:uid="{6E04A818-B390-4AFB-A395-FF26CCA28424}"/>
    <cellStyle name="40% — akcent 4 5" xfId="111" xr:uid="{BB0A527F-AFD6-425C-A652-4ABF6C91430E}"/>
    <cellStyle name="40% - akcent 4_03ceny36" xfId="112" xr:uid="{AEDD1E8D-AA44-4384-ADFB-FA1D4BC11260}"/>
    <cellStyle name="40% - akcent 5" xfId="113" xr:uid="{9DD5F12B-3E9B-4EDD-BDED-8FFC658C5488}"/>
    <cellStyle name="40% - akcent 5 2" xfId="114" xr:uid="{0DB10F30-845B-4CF2-A933-72253B16B0CD}"/>
    <cellStyle name="40% — akcent 5 2" xfId="115" xr:uid="{E93DB171-798C-4CEE-880F-8F1710B04325}"/>
    <cellStyle name="40% — akcent 5 3" xfId="116" xr:uid="{EC19F846-AD4A-431B-A3A4-8B76CEA01300}"/>
    <cellStyle name="40% - akcent 5_03ceny36" xfId="117" xr:uid="{EA7FA221-55EA-4BB3-ABF9-241CA329B501}"/>
    <cellStyle name="40% - akcent 6" xfId="118" xr:uid="{6E4DFE02-08A0-4327-A4E0-7C2CAEF029F6}"/>
    <cellStyle name="40% - akcent 6 2" xfId="119" xr:uid="{187617D3-A3ED-4ADC-84B3-CE8A4876E9A0}"/>
    <cellStyle name="40% — akcent 6 2" xfId="120" xr:uid="{F0FC561E-FC9A-43E8-87D1-B56AFFA85158}"/>
    <cellStyle name="40% — akcent 6 3" xfId="121" xr:uid="{5541F3DA-6F0C-4DB0-8BF9-2A2BD57A05DD}"/>
    <cellStyle name="40% — akcent 6 4" xfId="122" xr:uid="{E40EE711-D679-4EC0-B669-7CE4DE502513}"/>
    <cellStyle name="40% — akcent 6 5" xfId="123" xr:uid="{AA5BEFC9-0415-4F8E-A858-5AAE170B3CAD}"/>
    <cellStyle name="40% - akcent 6_03ceny36" xfId="124" xr:uid="{1444F943-B812-4285-8DA8-F8A9B7B95B79}"/>
    <cellStyle name="60 % - Akzent1" xfId="125" xr:uid="{66CA02A2-48DB-46FF-AFD9-6D1E72D86714}"/>
    <cellStyle name="60 % - Akzent2" xfId="126" xr:uid="{B8DFD669-280C-4086-A34D-59D9D9A636A9}"/>
    <cellStyle name="60 % - Akzent3" xfId="127" xr:uid="{EA0DEE33-0FC4-4A72-9139-174CA01951EB}"/>
    <cellStyle name="60 % - Akzent4" xfId="128" xr:uid="{EE7AB8F6-A398-4AEA-9FB2-F57057A34EB9}"/>
    <cellStyle name="60 % - Akzent5" xfId="129" xr:uid="{7066BA2F-6DF3-4122-BAE1-E9858595D9DA}"/>
    <cellStyle name="60 % - Akzent6" xfId="130" xr:uid="{15F11C4C-C968-4A70-8950-4D78D5D558DE}"/>
    <cellStyle name="60% - Accent1" xfId="131" xr:uid="{AF0B5486-0FCE-48A4-961C-2E87E7784971}"/>
    <cellStyle name="60% - Accent1 2" xfId="132" xr:uid="{FD8358C5-9AB0-41E7-8578-00CD5082564E}"/>
    <cellStyle name="60% - Accent1_slownik" xfId="133" xr:uid="{75A21A07-54F9-4379-BF92-CFF5FC44D064}"/>
    <cellStyle name="60% - Accent2" xfId="134" xr:uid="{0E4FEFDC-E4AB-40E4-8ECC-C7E1D576911A}"/>
    <cellStyle name="60% - Accent2 2" xfId="135" xr:uid="{1993067A-5EBF-4F98-A66D-39706F510C25}"/>
    <cellStyle name="60% - Accent2_slownik" xfId="136" xr:uid="{35CA9CFC-2F8E-474D-BC4B-C007D28209D4}"/>
    <cellStyle name="60% - Accent3" xfId="137" xr:uid="{234BCD29-1015-46E7-91F8-237E5250235B}"/>
    <cellStyle name="60% - Accent3 2" xfId="138" xr:uid="{27D190ED-3613-4531-AF49-2985CBC392CA}"/>
    <cellStyle name="60% - Accent3_slownik" xfId="139" xr:uid="{C820AB60-51A2-4147-BE75-FDEF73BC8DFF}"/>
    <cellStyle name="60% - Accent4" xfId="140" xr:uid="{EE90E780-1774-4DC5-9CC1-72D1CE9DD72F}"/>
    <cellStyle name="60% - Accent4 2" xfId="141" xr:uid="{6E5A86C8-31E8-4739-9013-C6A67F3DD6B1}"/>
    <cellStyle name="60% - Accent4_slownik" xfId="142" xr:uid="{71F879AF-4376-4CC7-BFA5-0A97864EAEE7}"/>
    <cellStyle name="60% - Accent5" xfId="143" xr:uid="{B368178A-2BEA-4984-86BE-74E04983ED5D}"/>
    <cellStyle name="60% - Accent5 2" xfId="144" xr:uid="{52FE3ED2-BB23-4B9A-94F1-C8F70B802AE0}"/>
    <cellStyle name="60% - Accent5_slownik" xfId="145" xr:uid="{BE2EE118-B58B-4C8A-8320-CAE9CCFE4154}"/>
    <cellStyle name="60% - Accent6" xfId="146" xr:uid="{C8EE8E26-BBC4-43D0-BA7D-5DC51D5C1A9E}"/>
    <cellStyle name="60% - Accent6 2" xfId="147" xr:uid="{19CAE9A5-949D-4936-B5D8-559D4464F208}"/>
    <cellStyle name="60% - Accent6_slownik" xfId="148" xr:uid="{215C9DA7-1EDA-484C-BFAD-6D53FD307CE4}"/>
    <cellStyle name="60% - akcent 1" xfId="149" xr:uid="{09102672-60A1-49F5-B91F-7538202AA313}"/>
    <cellStyle name="60% - akcent 1 2" xfId="150" xr:uid="{EA9012A5-40A5-4868-BD05-23431E82778A}"/>
    <cellStyle name="60% — akcent 1 2" xfId="151" xr:uid="{65B0D65D-D4E9-415E-9149-A4731E6A3F6D}"/>
    <cellStyle name="60% — akcent 1 3" xfId="152" xr:uid="{C40A230B-5887-4A23-A5CA-22DB4195F18F}"/>
    <cellStyle name="60% — akcent 1 4" xfId="153" xr:uid="{8090B95C-0B37-46CB-8DDB-0339E72F5A64}"/>
    <cellStyle name="60% — akcent 1 5" xfId="154" xr:uid="{FCD85993-FBA4-4E9C-9A42-B58EA0FCF530}"/>
    <cellStyle name="60% - akcent 1_03ceny36" xfId="155" xr:uid="{D4FBBD5E-7B70-4414-90BD-0E737F984704}"/>
    <cellStyle name="60% - akcent 2" xfId="156" xr:uid="{B1EC53B6-25B2-4D1C-A357-041D229A80F5}"/>
    <cellStyle name="60% - akcent 2 2" xfId="157" xr:uid="{7FE068D8-533E-4E89-B36F-515B06EBED11}"/>
    <cellStyle name="60% — akcent 2 2" xfId="158" xr:uid="{A8BDAD77-C661-47E8-ADB8-1303876CC73E}"/>
    <cellStyle name="60% — akcent 2 3" xfId="159" xr:uid="{4D1C1AAE-F267-4F4E-9BDF-7472A4B15C0A}"/>
    <cellStyle name="60% - akcent 2_03ceny36" xfId="160" xr:uid="{11A60408-0685-4BD8-BF2F-FDCE70C4D417}"/>
    <cellStyle name="60% - akcent 3" xfId="161" xr:uid="{C1C332F6-D221-4343-8393-F05F28674AFC}"/>
    <cellStyle name="60% - akcent 3 2" xfId="162" xr:uid="{7EF404F6-6383-49A7-BDB9-C3E7FBDF259C}"/>
    <cellStyle name="60% — akcent 3 2" xfId="163" xr:uid="{74D69D0E-64DF-4314-843F-B2EDB0A9D540}"/>
    <cellStyle name="60% — akcent 3 3" xfId="164" xr:uid="{4C43A81E-98B1-48B9-A901-1B69D08EDDB6}"/>
    <cellStyle name="60% — akcent 3 4" xfId="165" xr:uid="{37A4FE75-0FDD-49C7-9071-19570099D311}"/>
    <cellStyle name="60% — akcent 3 5" xfId="166" xr:uid="{83DF42D1-940F-4D19-A424-4DD71A10EC2C}"/>
    <cellStyle name="60% - akcent 3_03ceny36" xfId="167" xr:uid="{3D7C256D-BC69-4EA9-B08B-F321893065F4}"/>
    <cellStyle name="60% - akcent 4" xfId="168" xr:uid="{02CDD65F-01A6-4573-A3AE-3ECEDB4E39D7}"/>
    <cellStyle name="60% - akcent 4 2" xfId="169" xr:uid="{714D1873-52F3-43FE-832C-772CC10D6B81}"/>
    <cellStyle name="60% — akcent 4 2" xfId="170" xr:uid="{B3591695-980F-4767-BBB4-93A7B4CF2751}"/>
    <cellStyle name="60% — akcent 4 3" xfId="171" xr:uid="{DD73439A-03B5-43AC-BE3C-9DEE59D75211}"/>
    <cellStyle name="60% — akcent 4 4" xfId="172" xr:uid="{61131AA2-553D-4792-B09D-86F6279437D5}"/>
    <cellStyle name="60% — akcent 4 5" xfId="173" xr:uid="{E6D3B42A-9742-4236-98BF-536A1238E29C}"/>
    <cellStyle name="60% - akcent 4_03ceny36" xfId="174" xr:uid="{7D6A852A-5274-4EEF-8C85-8AC79B3B47D7}"/>
    <cellStyle name="60% - akcent 5" xfId="175" xr:uid="{3FAC1C94-93B4-4343-88EC-1274B3BFE5C9}"/>
    <cellStyle name="60% - akcent 5 2" xfId="176" xr:uid="{37B01DE6-EA91-425D-98F0-C939D0CD98FB}"/>
    <cellStyle name="60% — akcent 5 2" xfId="177" xr:uid="{0FE451F7-EC98-4B7B-BF7B-05B92EEE8BD4}"/>
    <cellStyle name="60% — akcent 5 3" xfId="178" xr:uid="{0F7FA38D-1C04-4BF9-AF8F-0C6662B76404}"/>
    <cellStyle name="60% - akcent 5_03ceny36" xfId="179" xr:uid="{4BDCB70A-A9AC-480E-A5E4-D6339E51DE4D}"/>
    <cellStyle name="60% - akcent 6" xfId="180" xr:uid="{6560FF27-50D9-4A3E-91AC-8041F6E2B880}"/>
    <cellStyle name="60% - akcent 6 2" xfId="181" xr:uid="{C17DC862-AC87-47C9-B68A-86B8C13D2067}"/>
    <cellStyle name="60% — akcent 6 2" xfId="182" xr:uid="{F45BFB6E-8AF2-4683-9FE0-87299713369A}"/>
    <cellStyle name="60% — akcent 6 3" xfId="183" xr:uid="{B646FEBA-10FD-43A0-B83B-F9F9E783553B}"/>
    <cellStyle name="60% — akcent 6 4" xfId="184" xr:uid="{BCF7BB85-C24B-40E3-82C2-B64151E8DA3C}"/>
    <cellStyle name="60% — akcent 6 5" xfId="185" xr:uid="{42527E0A-E198-4CFA-BFE9-70F2CB038C43}"/>
    <cellStyle name="60% - akcent 6_03ceny36" xfId="186" xr:uid="{F432A0F4-58D5-46CD-BEF4-C076A0D143D5}"/>
    <cellStyle name="Accent" xfId="187" xr:uid="{62791FFE-93BF-4AC9-95F9-FDC5E5D6F10B}"/>
    <cellStyle name="Accent 1" xfId="188" xr:uid="{B1AA2423-C316-43C4-97ED-2DDADA139A34}"/>
    <cellStyle name="Accent 1 14" xfId="189" xr:uid="{20F73535-AA54-42B1-ABE0-8B53D3B085C9}"/>
    <cellStyle name="Accent 1_slownik" xfId="190" xr:uid="{6DADF8FC-DDB9-4418-9EEF-35D470F1ADD9}"/>
    <cellStyle name="Accent 13" xfId="191" xr:uid="{453A6715-6F84-45DE-9686-B5436934D750}"/>
    <cellStyle name="Accent 2" xfId="192" xr:uid="{B40AA0FE-7D35-4119-B5FE-EAF86BFF0F44}"/>
    <cellStyle name="Accent 2 15" xfId="193" xr:uid="{238C0B28-8B4F-46BD-8FA6-DBDA24446425}"/>
    <cellStyle name="Accent 2_slownik" xfId="194" xr:uid="{0E397594-E00E-44B3-A346-D1D53DA5DE9A}"/>
    <cellStyle name="Accent 3" xfId="195" xr:uid="{7F891741-B69E-4DB1-8662-46777CEC628C}"/>
    <cellStyle name="Accent 3 16" xfId="196" xr:uid="{7C7E82A8-644C-4073-89B4-85B334AF68A9}"/>
    <cellStyle name="Accent 3_slownik" xfId="197" xr:uid="{2EBD33E3-387E-4488-B295-E4A9146CBA35}"/>
    <cellStyle name="Accent_slownik" xfId="198" xr:uid="{B6B2B011-0D96-49E3-8740-60E5BEA8F616}"/>
    <cellStyle name="Accent1" xfId="199" xr:uid="{4533870B-8DE2-404D-A514-98A6DE005C8D}"/>
    <cellStyle name="Accent1 - 20%" xfId="200" xr:uid="{A87BC0D4-AA42-4947-A23B-35FA83499C41}"/>
    <cellStyle name="Accent1 - 20% 2" xfId="201" xr:uid="{47A64C5C-B9F1-4E72-BA7D-E33C74D4118B}"/>
    <cellStyle name="Accent1 - 20% 3" xfId="202" xr:uid="{BAD7BEC4-F1B5-4EDB-9AB7-3C89DBA5F9D7}"/>
    <cellStyle name="Accent1 - 20% 4" xfId="203" xr:uid="{DA3603B5-D92C-47CD-9606-32F70809A8D1}"/>
    <cellStyle name="Accent1 - 20%_50_ceny" xfId="204" xr:uid="{58D28FBC-10F5-4E82-959D-0F9DDFE7ED09}"/>
    <cellStyle name="Accent1 - 40%" xfId="205" xr:uid="{9996A8C7-4A52-4739-9233-9D8A3DEC0223}"/>
    <cellStyle name="Accent1 - 40% 2" xfId="206" xr:uid="{5E0E100B-F9C7-4362-8C46-B0F63EB8E265}"/>
    <cellStyle name="Accent1 - 40%_Additional price" xfId="207" xr:uid="{FD8AD815-ACC5-469E-9C6D-2D7D9D51685A}"/>
    <cellStyle name="Accent1 - 60%" xfId="208" xr:uid="{21BA3BE6-C995-42AE-8010-5E37BC390FA4}"/>
    <cellStyle name="Accent1 - 60% 2" xfId="209" xr:uid="{6838F3F0-E0E6-444A-BB99-B94767C501A7}"/>
    <cellStyle name="Accent1 - 60%_Additional price" xfId="210" xr:uid="{04D2CBBD-9320-4864-9797-475C69CD0958}"/>
    <cellStyle name="Accent1 2" xfId="211" xr:uid="{9BBB41CC-E3E2-4355-A7AE-CB6A3623F697}"/>
    <cellStyle name="Accent1 3" xfId="212" xr:uid="{3CDF77DA-67CA-42A8-9288-D4CC214D459E}"/>
    <cellStyle name="Accent1 4" xfId="213" xr:uid="{50D1ACDC-3636-4EF6-82D6-4824231968D7}"/>
    <cellStyle name="Accent1 5" xfId="214" xr:uid="{8E684757-A402-494C-890C-F89E4388F497}"/>
    <cellStyle name="Accent1 6" xfId="215" xr:uid="{654A3468-16C4-4D95-81B0-4A0174C5BDBE}"/>
    <cellStyle name="Accent1 7" xfId="216" xr:uid="{E6908F85-BC1C-4E28-8110-8FD6A06EB576}"/>
    <cellStyle name="Accent1 8" xfId="217" xr:uid="{FB952CFB-CAA3-4923-95F8-C8243DDE315A}"/>
    <cellStyle name="Accent1_50_ceny" xfId="218" xr:uid="{5780B9B7-F605-4645-A473-4313BA7B4BB0}"/>
    <cellStyle name="Accent2" xfId="219" xr:uid="{340875E9-BCE0-437B-A058-C328ECA642F4}"/>
    <cellStyle name="Accent2 - 20%" xfId="220" xr:uid="{25F6BF83-435E-466F-ACBE-F9158889CA2E}"/>
    <cellStyle name="Accent2 - 20% 2" xfId="221" xr:uid="{4A7D95D5-125B-43A2-899D-055AB9F80D0E}"/>
    <cellStyle name="Accent2 - 20% 3" xfId="222" xr:uid="{F26C0E2A-A5A0-42B7-A58B-ED03AECD1E8B}"/>
    <cellStyle name="Accent2 - 20% 4" xfId="223" xr:uid="{D1722D63-8972-402D-84FE-0CB7B917A394}"/>
    <cellStyle name="Accent2 - 20%_50_ceny" xfId="224" xr:uid="{2A9837C0-009B-48C2-AC00-43FDFF4CDA7E}"/>
    <cellStyle name="Accent2 - 40%" xfId="225" xr:uid="{186F60A2-392C-44F3-B897-9EE3045C9896}"/>
    <cellStyle name="Accent2 - 40% 2" xfId="226" xr:uid="{497DB7D5-9D76-4E3E-B41D-EC96E98DD4F4}"/>
    <cellStyle name="Accent2 - 40%_Additional price" xfId="227" xr:uid="{2584D390-14B4-4D75-9CFB-F20E0F1436CB}"/>
    <cellStyle name="Accent2 - 60%" xfId="228" xr:uid="{9359763B-323A-4447-8BF6-A635CA61136C}"/>
    <cellStyle name="Accent2 - 60% 2" xfId="229" xr:uid="{69EECD5D-6D1F-49BD-AC00-3A34506D26BA}"/>
    <cellStyle name="Accent2 - 60%_Additional price" xfId="230" xr:uid="{34D060CD-1F93-4260-92AA-4FB31D030DC3}"/>
    <cellStyle name="Accent2 2" xfId="231" xr:uid="{CE32FBB7-CD49-40FA-A1A6-E5CF0BB66803}"/>
    <cellStyle name="Accent2 3" xfId="232" xr:uid="{27C2E871-59AA-4C76-9D39-0BF317EC9554}"/>
    <cellStyle name="Accent2 4" xfId="233" xr:uid="{D68EDB90-3EA5-4ADE-856E-2B675DA44852}"/>
    <cellStyle name="Accent2 5" xfId="234" xr:uid="{BD6B20A7-73BE-4F60-BA6A-837A85F09D0F}"/>
    <cellStyle name="Accent2 6" xfId="235" xr:uid="{62292DC0-98CF-4F87-B280-474738BA61A5}"/>
    <cellStyle name="Accent2 7" xfId="236" xr:uid="{44C779DF-43A4-4614-B6FD-CF7B9A7A2EE0}"/>
    <cellStyle name="Accent2 8" xfId="237" xr:uid="{92C7D7CC-BB5B-4E22-AE2F-67E3C17EE5EF}"/>
    <cellStyle name="Accent2_50_ceny" xfId="238" xr:uid="{D757A414-537C-4074-9A5D-F7C3D24FED5A}"/>
    <cellStyle name="Accent3" xfId="239" xr:uid="{A6057EC0-2395-43B9-BA23-BA6DCD4BB020}"/>
    <cellStyle name="Accent3 - 20%" xfId="240" xr:uid="{7EB0052B-6DCF-414D-8891-0A1113DC5CDE}"/>
    <cellStyle name="Accent3 - 20% 2" xfId="241" xr:uid="{D7DA5954-3DE2-4313-9D24-119FE80F9F22}"/>
    <cellStyle name="Accent3 - 20% 3" xfId="242" xr:uid="{FC403B1A-6823-4626-A288-A43CB48E5876}"/>
    <cellStyle name="Accent3 - 20% 4" xfId="243" xr:uid="{1344DBCB-F5F1-4A56-9B6B-C23C53CB165E}"/>
    <cellStyle name="Accent3 - 20%_50_ceny" xfId="244" xr:uid="{05D53D23-7339-4C57-AB91-2D53F9C82C7F}"/>
    <cellStyle name="Accent3 - 40%" xfId="245" xr:uid="{09983E05-7224-4AE8-A4E4-11DEDA45050F}"/>
    <cellStyle name="Accent3 - 40% 2" xfId="246" xr:uid="{5BB50593-713F-4FF1-98E1-1CF75C65F300}"/>
    <cellStyle name="Accent3 - 40% 3" xfId="247" xr:uid="{56DC4044-9C80-42CA-9B26-73FED21287ED}"/>
    <cellStyle name="Accent3 - 40% 4" xfId="248" xr:uid="{9B2A66B4-7840-4238-83C7-DB74124DF428}"/>
    <cellStyle name="Accent3 - 40%_50_ceny" xfId="249" xr:uid="{6A017C7C-5ACA-473F-9898-5C71C69FE4E1}"/>
    <cellStyle name="Accent3 - 60%" xfId="250" xr:uid="{AE310621-8D2F-4E08-BEFC-AB8B369B4A1A}"/>
    <cellStyle name="Accent3 - 60% 2" xfId="251" xr:uid="{DA9D3FC5-F50F-4AD4-BDB2-7EA9E1C27FDE}"/>
    <cellStyle name="Accent3 - 60%_Additional price" xfId="252" xr:uid="{A09A0EDA-8D57-4B3F-98A0-C614810BB010}"/>
    <cellStyle name="Accent3 2" xfId="253" xr:uid="{CD4807FD-224F-46DE-8BE5-269FEE8536CA}"/>
    <cellStyle name="Accent3 3" xfId="254" xr:uid="{2930B59C-90FD-4E37-80B5-DEDFB18BEE6C}"/>
    <cellStyle name="Accent3 4" xfId="255" xr:uid="{4D762E6A-C1CD-4A06-95A0-B1B52168AB7F}"/>
    <cellStyle name="Accent3 5" xfId="256" xr:uid="{DDC14DD4-ED34-4834-8113-3CAE1705DAB1}"/>
    <cellStyle name="Accent3 6" xfId="257" xr:uid="{523E7160-62CC-4C2C-9CF3-056F28B61DB4}"/>
    <cellStyle name="Accent3 7" xfId="258" xr:uid="{4099ECC9-F5CD-457E-BEFC-87FE990208D2}"/>
    <cellStyle name="Accent3 8" xfId="259" xr:uid="{32040C8D-7C82-42AA-9E59-CB95C14E731A}"/>
    <cellStyle name="Accent3_50_ceny" xfId="260" xr:uid="{E1F949D8-AE6D-40BC-A748-B31AEEFBEDAD}"/>
    <cellStyle name="Accent4" xfId="261" xr:uid="{E47B780E-C215-4D15-B098-0C328C02A03F}"/>
    <cellStyle name="Accent4 - 20%" xfId="262" xr:uid="{0F5445B8-628F-44D3-A8FA-45FF12D3D1DD}"/>
    <cellStyle name="Accent4 - 20% 2" xfId="263" xr:uid="{3E181FFE-31A6-400D-8A15-4A9AFC22760B}"/>
    <cellStyle name="Accent4 - 20% 3" xfId="264" xr:uid="{C2F9A164-F2F6-4E27-BC85-5900D69D78D0}"/>
    <cellStyle name="Accent4 - 20% 4" xfId="265" xr:uid="{F5FFFEC6-91DB-482A-9B64-75A5135E718E}"/>
    <cellStyle name="Accent4 - 20%_50_ceny" xfId="266" xr:uid="{4A8522D3-8B2A-419D-A703-B17548C621E3}"/>
    <cellStyle name="Accent4 - 40%" xfId="267" xr:uid="{F3664D36-9E2A-4D8B-890D-4C12274D8E7C}"/>
    <cellStyle name="Accent4 - 40% 2" xfId="268" xr:uid="{43D10BFF-A0AE-4271-ADF2-2247BA24935B}"/>
    <cellStyle name="Accent4 - 40%_Additional price" xfId="269" xr:uid="{B9CBE7C8-6370-4B5E-AF72-97FEC7171323}"/>
    <cellStyle name="Accent4 - 60%" xfId="270" xr:uid="{CE2149E8-167D-4EF1-AF1E-E35BECA6D68A}"/>
    <cellStyle name="Accent4 - 60% 2" xfId="271" xr:uid="{CDC5A597-DD8C-4BCB-91A1-46AC576DCE9B}"/>
    <cellStyle name="Accent4 - 60%_Additional price" xfId="272" xr:uid="{467BFCA6-B322-47F2-87B4-499FC0472DB3}"/>
    <cellStyle name="Accent4 2" xfId="273" xr:uid="{858734A7-7CD4-4BB0-B261-B62BFA987299}"/>
    <cellStyle name="Accent4 3" xfId="274" xr:uid="{99EF15D5-3E3D-4BBE-AD71-7182036F80A8}"/>
    <cellStyle name="Accent4 4" xfId="275" xr:uid="{A58EAAE2-07CF-4A7A-A80D-6AEC8544433B}"/>
    <cellStyle name="Accent4 5" xfId="276" xr:uid="{044C4EA1-CE03-421E-8870-6F0360C55090}"/>
    <cellStyle name="Accent4 6" xfId="277" xr:uid="{021D1727-A1AB-4D39-A474-96295B9B153C}"/>
    <cellStyle name="Accent4 7" xfId="278" xr:uid="{633B65DB-C884-4251-AADF-200B91A9556F}"/>
    <cellStyle name="Accent4 8" xfId="279" xr:uid="{F33F72E1-0C58-4D77-9139-49CD66F0AE9B}"/>
    <cellStyle name="Accent4_50_ceny" xfId="280" xr:uid="{D0751673-F014-4392-9914-850581FF605C}"/>
    <cellStyle name="Accent5" xfId="281" xr:uid="{D9B2812E-2B38-4545-AA1D-0585DCB63539}"/>
    <cellStyle name="Accent5 - 20%" xfId="282" xr:uid="{F03443F4-7AD0-48E2-9574-F21138170833}"/>
    <cellStyle name="Accent5 - 20% 2" xfId="283" xr:uid="{9372A9AD-2546-4A30-B8B6-D86588FD1537}"/>
    <cellStyle name="Accent5 - 20% 3" xfId="284" xr:uid="{FD7DB439-4F33-4036-9DDD-BEDB59E5D992}"/>
    <cellStyle name="Accent5 - 20% 4" xfId="285" xr:uid="{D04F4BBA-59AC-4105-88DB-A1DFF9583FF5}"/>
    <cellStyle name="Accent5 - 20%_50_ceny" xfId="286" xr:uid="{DAA300B0-8952-4E0E-AB30-17A43C554E9E}"/>
    <cellStyle name="Accent5 - 40%" xfId="287" xr:uid="{D24002E0-C1E0-43C4-831E-C027D1158B96}"/>
    <cellStyle name="Accent5 - 40% 2" xfId="288" xr:uid="{809AB719-DE0B-420A-8560-F2D4ED8F2732}"/>
    <cellStyle name="Accent5 - 40% 3" xfId="289" xr:uid="{CE0213F8-2BCE-477C-95CF-8516754D779C}"/>
    <cellStyle name="Accent5 - 40% 4" xfId="290" xr:uid="{A1FBF8BA-84D6-44B4-9B13-9AAE39778320}"/>
    <cellStyle name="Accent5 - 40%_50_ceny" xfId="291" xr:uid="{DB4464A1-0143-4154-B9AC-15AB0F4B991D}"/>
    <cellStyle name="Accent5 - 60%" xfId="292" xr:uid="{CD16A99F-D3B8-480F-B5CD-AEE31600D3BE}"/>
    <cellStyle name="Accent5 - 60% 2" xfId="293" xr:uid="{1906616E-E165-4B3A-82BE-C4B6043A1CA8}"/>
    <cellStyle name="Accent5 - 60%_Additional price" xfId="294" xr:uid="{0A0E00CE-6ED3-4064-8C94-1DB711D3B1B7}"/>
    <cellStyle name="Accent5 2" xfId="295" xr:uid="{9B902D27-DC4B-4A39-9208-EF73990EC65B}"/>
    <cellStyle name="Accent5 3" xfId="296" xr:uid="{C9C724AF-223F-4836-91EF-D043C1627BEE}"/>
    <cellStyle name="Accent5 4" xfId="297" xr:uid="{87009F1E-7226-49CE-9EEF-498FD9AFD3BF}"/>
    <cellStyle name="Accent5 5" xfId="298" xr:uid="{9027890F-3E2E-4342-9B2D-FF5CE9CAFCF6}"/>
    <cellStyle name="Accent5 6" xfId="299" xr:uid="{3BB1F985-D46F-4A17-8F8D-3E4E78B4F504}"/>
    <cellStyle name="Accent5 7" xfId="300" xr:uid="{A4BE8425-949B-4B79-B127-5AF103C859BA}"/>
    <cellStyle name="Accent5 8" xfId="301" xr:uid="{5521881E-6254-4B69-9CAE-68F39D2E2AA2}"/>
    <cellStyle name="Accent5_50_ceny" xfId="302" xr:uid="{A0E2F702-BEAE-4B7B-839F-785624830911}"/>
    <cellStyle name="Accent6" xfId="303" xr:uid="{A1E8BFEB-B31E-484C-AD96-13DB91ED5BFA}"/>
    <cellStyle name="Accent6 - 20%" xfId="304" xr:uid="{377A9371-1389-40F4-8DDB-7309AD644BD5}"/>
    <cellStyle name="Accent6 - 20% 2" xfId="305" xr:uid="{2D6012B8-F81C-4DC1-848D-EEC53325474C}"/>
    <cellStyle name="Accent6 - 20%_Additional price" xfId="306" xr:uid="{5D577DDC-B3BE-4CE9-8450-6B42F33DF9D1}"/>
    <cellStyle name="Accent6 - 40%" xfId="307" xr:uid="{3D48E415-D206-4894-A8BC-5A721DBAF887}"/>
    <cellStyle name="Accent6 - 40% 2" xfId="308" xr:uid="{7564EB0C-48AE-42BE-BD1D-33DD20D2A690}"/>
    <cellStyle name="Accent6 - 40% 3" xfId="309" xr:uid="{C34569E7-D1B4-40CB-9B9B-A2574A29A3CC}"/>
    <cellStyle name="Accent6 - 40%_50_ceny" xfId="310" xr:uid="{A94FB751-64F1-4091-8AD3-3365AF8D6C0F}"/>
    <cellStyle name="Accent6 - 60%" xfId="311" xr:uid="{32395855-DCDF-4C4C-AB9D-1FAFCB463B39}"/>
    <cellStyle name="Accent6 - 60% 2" xfId="312" xr:uid="{92D74EB7-B205-4295-B4CC-F7F1FACE6BA6}"/>
    <cellStyle name="Accent6 - 60% 3" xfId="313" xr:uid="{0B6479EA-07DE-4024-8D3B-34A25755B604}"/>
    <cellStyle name="Accent6 - 60%_50_ceny" xfId="314" xr:uid="{EB2E615A-DCBE-4D93-877A-0B01F574473B}"/>
    <cellStyle name="Accent6 2" xfId="315" xr:uid="{B5AC5F21-DF98-481A-835F-0CA678763BE9}"/>
    <cellStyle name="Accent6 3" xfId="316" xr:uid="{E4316CAA-A5D5-4D81-8729-C0912F35736E}"/>
    <cellStyle name="Accent6 4" xfId="317" xr:uid="{CCD50EF4-B7D7-4F10-AC80-3C33F2E50650}"/>
    <cellStyle name="Accent6 5" xfId="318" xr:uid="{566A10F5-A7BA-4C67-ADE2-935996F38FAA}"/>
    <cellStyle name="Accent6 6" xfId="319" xr:uid="{049A05FE-8989-4E93-8BE9-4A67D2CB3849}"/>
    <cellStyle name="Accent6 7" xfId="320" xr:uid="{0C63F248-F4E9-4113-940B-68C2CEFE3685}"/>
    <cellStyle name="Accent6 8" xfId="321" xr:uid="{F10B3E97-5D47-43E5-9D28-C7B8386B9977}"/>
    <cellStyle name="Accent6_50_ceny" xfId="322" xr:uid="{9D42EA48-4866-455D-90D9-C7FEAB6A976B}"/>
    <cellStyle name="Akcent 1 1" xfId="323" xr:uid="{C924E0FE-E919-489C-BF8C-3EDAA6305D4C}"/>
    <cellStyle name="Akcent 1 2" xfId="324" xr:uid="{6846857A-7698-427C-B803-8EC631C1C754}"/>
    <cellStyle name="Akcent 1 2 2" xfId="325" xr:uid="{6A65F923-1D6E-43DD-8BA5-59E1F19103FF}"/>
    <cellStyle name="Akcent 1 2 3" xfId="326" xr:uid="{4DF7569F-2919-4CF6-A5B6-B9E1CF1083B9}"/>
    <cellStyle name="Akcent 1 3" xfId="327" xr:uid="{FE8336EE-1DB9-4179-9AF7-7E4B53DFE8C3}"/>
    <cellStyle name="Akcent 1 4" xfId="328" xr:uid="{2718A1B4-67CD-4A44-9907-00C09A664843}"/>
    <cellStyle name="Akcent 2 1" xfId="329" xr:uid="{E5EF3F97-82E6-42B5-860A-9B6756BF1FE4}"/>
    <cellStyle name="Akcent 2 2" xfId="330" xr:uid="{830F2886-60C0-466D-B80D-559BCC198A52}"/>
    <cellStyle name="Akcent 2 2 2" xfId="331" xr:uid="{589BEA94-F7F9-4F86-A2C1-7797C83475AF}"/>
    <cellStyle name="Akcent 2 2 3" xfId="332" xr:uid="{4E2CDD31-1714-40FC-ABC1-CBAC243C57E7}"/>
    <cellStyle name="Akcent 2 3" xfId="333" xr:uid="{A93096A5-8C55-4162-BEB1-1F34177F28C5}"/>
    <cellStyle name="Akcent 2 4" xfId="334" xr:uid="{53A651E3-CD06-47A8-8179-5A8AE5A8ABC0}"/>
    <cellStyle name="Akcent 3 1" xfId="335" xr:uid="{311951F9-9994-498F-8627-507148B00B26}"/>
    <cellStyle name="Akcent 3 2" xfId="336" xr:uid="{BF3ADF65-57EC-4032-8AD9-47F52FFC14A2}"/>
    <cellStyle name="Akcent 3 2 2" xfId="337" xr:uid="{6D0DDE8E-2F40-4F11-BB78-0FE3B3F69C89}"/>
    <cellStyle name="Akcent 3 2 3" xfId="338" xr:uid="{C3CD0F62-B22D-4909-BB88-5F0E99B18461}"/>
    <cellStyle name="Akcent 3 3" xfId="339" xr:uid="{09AB1C21-7C20-4355-AB9A-5464B760D1CF}"/>
    <cellStyle name="Akcent 3 4" xfId="340" xr:uid="{225648C3-F625-4E10-B280-5D19142F095D}"/>
    <cellStyle name="Akcent 3 5" xfId="341" xr:uid="{ECFE0D1D-2B8A-4E8F-B73B-D67D45217A14}"/>
    <cellStyle name="Akcent 4 2" xfId="342" xr:uid="{D1F47E12-9ADF-4B31-826F-8994A676C55D}"/>
    <cellStyle name="Akcent 4 2 2" xfId="343" xr:uid="{FDA61610-7E24-4FB7-873F-1732A9B4AB10}"/>
    <cellStyle name="Akcent 4 2 3" xfId="344" xr:uid="{4F230461-833D-4E97-AF7C-1C38DEBF1DF6}"/>
    <cellStyle name="Akcent 4 3" xfId="345" xr:uid="{63FA969F-BECD-46AA-80CE-062523426248}"/>
    <cellStyle name="Akcent 4 4" xfId="346" xr:uid="{D90A4AD4-8927-4650-895B-FBC18079968D}"/>
    <cellStyle name="Akcent 5 2" xfId="347" xr:uid="{5413D2E1-4DB4-4B47-8260-5C654247272C}"/>
    <cellStyle name="Akcent 5 2 2" xfId="348" xr:uid="{9507F732-4CE9-4388-AF3F-1183178C3C70}"/>
    <cellStyle name="Akcent 5 2 3" xfId="349" xr:uid="{680ED380-9CB4-4FFD-8101-777E6885B4CE}"/>
    <cellStyle name="Akcent 5 3" xfId="350" xr:uid="{8A295B0A-740F-43DC-A6DA-FB4C50DA2023}"/>
    <cellStyle name="Akcent 6 2" xfId="351" xr:uid="{D9560FB8-D1D4-43E4-BE1D-317057F07AF3}"/>
    <cellStyle name="Akcent 6 2 2" xfId="352" xr:uid="{9F538B5F-E74E-4CA2-9DF4-A0C94D417FE8}"/>
    <cellStyle name="Akcent 6 2 3" xfId="353" xr:uid="{C3BCA0F5-50CC-4E01-AC09-CF8F81ADE168}"/>
    <cellStyle name="Akcent 6 3" xfId="354" xr:uid="{CDE16078-B5AB-4D83-B3C5-9DFC07498872}"/>
    <cellStyle name="Akzent1" xfId="355" xr:uid="{08AB34BA-34D2-4CA5-AA7C-6BA4B0F22292}"/>
    <cellStyle name="Akzent2" xfId="356" xr:uid="{BDAAE7E8-ABC2-49ED-A39F-40A8B62A2F9E}"/>
    <cellStyle name="Akzent3" xfId="357" xr:uid="{52004EC6-02F0-4A36-82D1-706E1F135D8F}"/>
    <cellStyle name="Akzent4" xfId="358" xr:uid="{E80A7147-E2C9-4E81-B56F-CCFFB618E020}"/>
    <cellStyle name="Akzent5" xfId="359" xr:uid="{97B0CCE2-6469-4BD7-B620-3CFBCE3CDED3}"/>
    <cellStyle name="Akzent6" xfId="360" xr:uid="{CEEDEB3C-DA56-4026-983B-6AE7E1B47F32}"/>
    <cellStyle name="Ausgabe" xfId="361" xr:uid="{41E92B3C-C851-4B94-8684-D2DB62DE6CBA}"/>
    <cellStyle name="Ausgabe 2" xfId="362" xr:uid="{209306B8-602C-42BF-9860-C4B084F5A63B}"/>
    <cellStyle name="Ausgabe_IMPORT" xfId="363" xr:uid="{304EBC65-FF5E-4C1F-8CCE-4A1622D179D7}"/>
    <cellStyle name="Bad" xfId="364" xr:uid="{6A6B3CA8-09A8-4958-B162-942054A23EC0}"/>
    <cellStyle name="Bad 1" xfId="365" xr:uid="{8E779A28-0EA8-42B7-A22B-28C310BD2B1F}"/>
    <cellStyle name="Bad 10" xfId="366" xr:uid="{A36685F9-01A9-4F78-8F03-B0F39017F3FE}"/>
    <cellStyle name="Bad 2" xfId="367" xr:uid="{41D243EA-6A36-49D8-8432-45F3435F314C}"/>
    <cellStyle name="Bad_50_ceny" xfId="368" xr:uid="{058FBF60-41C0-4E23-9337-20A86BE29538}"/>
    <cellStyle name="Berechnung" xfId="369" xr:uid="{14BEB966-FC3B-4B25-9D3D-F0DFA49C5260}"/>
    <cellStyle name="Berechnung 2" xfId="370" xr:uid="{EC481D9D-F36E-4CA7-9586-1EF630B57931}"/>
    <cellStyle name="Berechnung_IMPORT" xfId="371" xr:uid="{4BEE17D6-35EB-43AE-96E0-DBD40D102D47}"/>
    <cellStyle name="Calculation" xfId="372" xr:uid="{02B4B5C5-4AF9-4FA7-A0F1-E588F2C322BF}"/>
    <cellStyle name="Calculation 2" xfId="373" xr:uid="{277AEC13-E916-4C21-806F-8A4DABCDBC43}"/>
    <cellStyle name="Calculation_Additional price" xfId="374" xr:uid="{4B397D60-6F58-43AE-92AF-68EE22B770BB}"/>
    <cellStyle name="Check Cell" xfId="375" xr:uid="{DB897FB2-94B8-4D65-AAA8-D91410CC83B6}"/>
    <cellStyle name="Check Cell 2" xfId="376" xr:uid="{4C858716-9B35-41BD-ABEC-E1CCC08C16D3}"/>
    <cellStyle name="Check Cell_Additional price" xfId="377" xr:uid="{D4B603BF-E8D6-475E-9179-B0EEEECFE0BD}"/>
    <cellStyle name="Dane wej?ciowe" xfId="378" xr:uid="{AF9C8F1D-491F-4C91-8C73-EDA2FD984165}"/>
    <cellStyle name="Dane wej?ciowe 2" xfId="379" xr:uid="{969DD5F9-93A4-48BE-8B2A-85B31B26C82D}"/>
    <cellStyle name="Dane wejściowe 2" xfId="380" xr:uid="{42658677-E048-4EB8-8C8D-BE2838B36EA5}"/>
    <cellStyle name="Dane wejściowe 2 2" xfId="381" xr:uid="{9CF38EE9-FF10-46BB-8BB0-D8D2B76F7DE8}"/>
    <cellStyle name="Dane wejściowe 2 3" xfId="382" xr:uid="{5E416794-7223-43CA-9468-ECF3883086EA}"/>
    <cellStyle name="Dane wejściowe 3" xfId="383" xr:uid="{ADF0F60C-8518-46EF-8760-5AC1FD66AFB3}"/>
    <cellStyle name="Dane wyj?ciowe" xfId="384" xr:uid="{EF20F259-073A-40DB-8B32-9C1FA20DB748}"/>
    <cellStyle name="Dane wyj?ciowe 2" xfId="385" xr:uid="{08E0BB35-CF10-44A7-A97C-48D0C6B2D47D}"/>
    <cellStyle name="Dane wyjściowe 2" xfId="386" xr:uid="{62F930DC-EF7A-46FB-919C-5D4C1C65D69D}"/>
    <cellStyle name="Dane wyjściowe 2 2" xfId="387" xr:uid="{EB4CBACB-8375-4A76-B555-A48487F19CB4}"/>
    <cellStyle name="Dane wyjściowe 2 3" xfId="388" xr:uid="{5D83EAB3-A63B-44C0-B8F2-D795050047D1}"/>
    <cellStyle name="Dane wyjściowe 3" xfId="389" xr:uid="{D41B203B-AC3E-4232-B5E3-40AA9BE2EFED}"/>
    <cellStyle name="Dobre" xfId="390" xr:uid="{228A271A-862F-445F-8D24-9681E25E1A3D}"/>
    <cellStyle name="Dobre 2" xfId="391" xr:uid="{7A7BE268-AACA-4A2C-BE10-A92563D02F44}"/>
    <cellStyle name="Dobre_Additional price" xfId="392" xr:uid="{AA2B7612-6FD7-4884-B9CB-9F30964BF2D4}"/>
    <cellStyle name="Dobry 2" xfId="393" xr:uid="{F5236A83-7A82-4E67-8870-E3409BC34864}"/>
    <cellStyle name="Dobry 3" xfId="394" xr:uid="{1CAD200B-E36B-4E4A-A31F-3143A4E21F52}"/>
    <cellStyle name="Dziesiętny 2" xfId="395" xr:uid="{7E1C6D3C-26D0-4B0F-BB2A-EBDADD0D2742}"/>
    <cellStyle name="Dziesiętny 2 2" xfId="396" xr:uid="{9ECBB9EB-A0F9-4827-A17B-C47C94477991}"/>
    <cellStyle name="Dziesiętny 2 3" xfId="397" xr:uid="{5932A16D-06B3-4EC4-A1E5-8485B643E106}"/>
    <cellStyle name="Dziesiętny 2_DOPLATA_EL" xfId="398" xr:uid="{0E42736A-2894-4DC8-BFB0-481F3A71CBCA}"/>
    <cellStyle name="Eingabe" xfId="399" xr:uid="{6B3A5E61-D804-477E-9A6E-9967BA874F1C}"/>
    <cellStyle name="Eingabe 2" xfId="400" xr:uid="{1A33BE91-DF85-4D72-8703-6C8C086CEE52}"/>
    <cellStyle name="Eingabe_IMPORT" xfId="401" xr:uid="{8B9D6C72-A438-4275-AF95-843059BD5DE8}"/>
    <cellStyle name="Emphasis 1" xfId="402" xr:uid="{0245C93A-B0C1-4DD8-B91D-A439B54883D2}"/>
    <cellStyle name="Emphasis 1 2" xfId="403" xr:uid="{9BB676D4-32CF-48E7-A4FD-263488477055}"/>
    <cellStyle name="Emphasis 1_Additional price" xfId="404" xr:uid="{048EF6B0-5B53-4D20-AE72-B329D4A64345}"/>
    <cellStyle name="Emphasis 2" xfId="405" xr:uid="{C3501333-8509-49D3-9461-29394B1F7884}"/>
    <cellStyle name="Emphasis 2 2" xfId="406" xr:uid="{15ED510E-1193-4FF8-9F1E-52CB5761A48A}"/>
    <cellStyle name="Emphasis 2_Additional price" xfId="407" xr:uid="{37EF6AAC-5325-41AC-A8B4-D095EA595974}"/>
    <cellStyle name="Emphasis 3" xfId="408" xr:uid="{792EFBEC-CCD7-4D81-A273-AD9DCB3E0663}"/>
    <cellStyle name="Emphasis 3 2" xfId="409" xr:uid="{334F4C7F-80D9-4A9C-A0C9-CF819CB45414}"/>
    <cellStyle name="Emphasis 3_Additional price" xfId="410" xr:uid="{EDFDDB1A-F385-44CC-A640-F262C8E367AE}"/>
    <cellStyle name="Ergebnis" xfId="411" xr:uid="{59C90677-77A5-4A09-BB8C-D25B258AD4AF}"/>
    <cellStyle name="Ergebnis 2" xfId="412" xr:uid="{863FCD9D-DFA5-412C-99AB-7FAACB1229BC}"/>
    <cellStyle name="Ergebnis_IMPORT" xfId="413" xr:uid="{D6936005-0918-4598-8A71-A2AFF2C61260}"/>
    <cellStyle name="Erklärender Text" xfId="414" xr:uid="{6080365E-34B4-4E07-A043-E5248948D320}"/>
    <cellStyle name="Error" xfId="415" xr:uid="{A951C536-C3A6-4175-AC3F-67155F6E9EB2}"/>
    <cellStyle name="Error 12" xfId="416" xr:uid="{AA418A7C-A12B-4BF7-B418-3AA84EBD81E9}"/>
    <cellStyle name="Error_slownik" xfId="417" xr:uid="{F313C530-06DE-415E-9273-78C444D2A936}"/>
    <cellStyle name="Euro" xfId="418" xr:uid="{07D8E28A-5D82-4585-AAA6-B18E5F794C71}"/>
    <cellStyle name="Euro 2" xfId="419" xr:uid="{6B803B29-52D2-4732-A64A-F8E8856C0164}"/>
    <cellStyle name="Excel Built-in Excel Built-in Excel Built-in Excel Built-in Normalny 4" xfId="420" xr:uid="{26E2AFEA-D9B7-4E59-852E-1BE91C86A03B}"/>
    <cellStyle name="Excel Built-in Normal" xfId="421" xr:uid="{7861BDE9-2C96-4B36-904B-5AB4AC88AD90}"/>
    <cellStyle name="Excel Built-in Normal 1" xfId="422" xr:uid="{C48F2313-6219-47D3-871F-91662F9424A8}"/>
    <cellStyle name="Excel Built-in Normal 2" xfId="423" xr:uid="{1FEF6408-F6A3-4288-ACCC-535B9368E002}"/>
    <cellStyle name="Excel Built-in Normal 3" xfId="424" xr:uid="{EC695FAC-241A-418B-9B2F-4D74B73A55C9}"/>
    <cellStyle name="Excel Built-in Normal 4" xfId="425" xr:uid="{82372B4C-30CC-401A-94EC-530E35D3FD6B}"/>
    <cellStyle name="Excel Built-in Normal_Arkusz1" xfId="426" xr:uid="{BFAD3FD7-1A46-4197-9FFE-35C635991240}"/>
    <cellStyle name="Explanatory Text" xfId="427" xr:uid="{3440681D-7EF8-43D2-8AAB-A9BA52A19285}"/>
    <cellStyle name="Explanatory Text 2" xfId="428" xr:uid="{3C1493C5-2726-46C3-B8DF-92A81C5DED54}"/>
    <cellStyle name="Footnote" xfId="429" xr:uid="{8EBB5BBF-74D7-43FF-BD0C-CD279428B7CC}"/>
    <cellStyle name="Footnote 5" xfId="430" xr:uid="{34038A35-AFB6-4B14-A6F2-7CEAE7501EA4}"/>
    <cellStyle name="Footnote_slownik" xfId="431" xr:uid="{96F4EADB-0732-409A-821A-8651A0F2FEC3}"/>
    <cellStyle name="Good" xfId="432" xr:uid="{4B366E01-D71E-4F94-AD67-6E7ECCA34EEA}"/>
    <cellStyle name="Good 1" xfId="433" xr:uid="{72FC5A0F-AC4C-4FFC-82CF-D43BFD157ECD}"/>
    <cellStyle name="Good 2" xfId="434" xr:uid="{AA351106-FD09-4BE4-B1E7-86B57800DFC2}"/>
    <cellStyle name="Good 8" xfId="435" xr:uid="{81D9E3D6-0563-4CEF-969B-6DD27A83CFD6}"/>
    <cellStyle name="Good_50_ceny" xfId="436" xr:uid="{43A23E4F-9309-4993-9619-E9A694FA7D21}"/>
    <cellStyle name="Gut" xfId="437" xr:uid="{AE4C05E6-BBF7-4F7B-96FB-2A0764D0D648}"/>
    <cellStyle name="Heading" xfId="438" xr:uid="{2A947BF5-05D8-4A15-B69B-AF3F15DF1619}"/>
    <cellStyle name="Heading 1" xfId="439" xr:uid="{C0EBACFD-AAA2-4FB3-83C3-38722AB82CA1}"/>
    <cellStyle name="Heading 1 1" xfId="440" xr:uid="{4F88B48D-F891-44BA-A61B-4D5E73952153}"/>
    <cellStyle name="Heading 1 2" xfId="441" xr:uid="{798002A0-B1AD-4D3E-90AE-261BFEAE73FF}"/>
    <cellStyle name="Heading 1_50_ceny" xfId="442" xr:uid="{A092054C-D1B0-42BC-B851-467700CEA184}"/>
    <cellStyle name="Heading 2" xfId="443" xr:uid="{DE30564E-D597-42BC-98F3-AD2D543D9908}"/>
    <cellStyle name="Heading 2 1" xfId="444" xr:uid="{07B95ABD-2561-4804-AEFE-E23063F8D9A4}"/>
    <cellStyle name="Heading 2 2" xfId="445" xr:uid="{F6DD922F-9A8F-40DC-B3D0-459E0B562FB5}"/>
    <cellStyle name="Heading 2_50_ceny" xfId="446" xr:uid="{A742A464-CC70-4892-B6B3-4ABF177DFFC7}"/>
    <cellStyle name="Heading 3" xfId="447" xr:uid="{32F70B7D-77EB-494D-BEFA-FE6ADBD5CBAD}"/>
    <cellStyle name="Heading 3 2" xfId="448" xr:uid="{995981F4-DDBF-4C1C-8899-974AAEE3CA7D}"/>
    <cellStyle name="Heading 3_Additional price" xfId="449" xr:uid="{471F8C84-2D50-42E3-93BF-5714610B23E3}"/>
    <cellStyle name="Heading 4" xfId="450" xr:uid="{4C6F6E05-ECFA-4AF1-8E93-CFC1BDD5DDC0}"/>
    <cellStyle name="Heading 4 2" xfId="451" xr:uid="{48A2CD3B-074B-4EE7-A523-385C1C2477EE}"/>
    <cellStyle name="Heading 4_Additional price" xfId="452" xr:uid="{97DBA5CA-16A7-44B3-A21C-80E7931E6B9A}"/>
    <cellStyle name="Heading_dodatki" xfId="453" xr:uid="{816AF5B8-0D15-4DD3-8F0F-8064854A9953}"/>
    <cellStyle name="Heading1" xfId="454" xr:uid="{8873FAE5-26D9-4AF9-B883-557A11C3213F}"/>
    <cellStyle name="Hiperłącze" xfId="455" builtinId="8"/>
    <cellStyle name="Hyperlink 6" xfId="456" xr:uid="{73C7840A-C584-47C7-87F6-C51A76CA4A58}"/>
    <cellStyle name="Input" xfId="457" xr:uid="{951F7D3B-A637-4543-84CF-58954F8445C7}"/>
    <cellStyle name="Input 2" xfId="458" xr:uid="{1174E1DB-BBA9-4296-97A0-BCED2555442A}"/>
    <cellStyle name="Input 2 2" xfId="459" xr:uid="{EA7C65A4-533B-4AE4-B459-FEEBAADBBFC7}"/>
    <cellStyle name="Input 2_IMPORT" xfId="460" xr:uid="{ABFA899A-4568-45E1-AA1F-CCC4170EA1AD}"/>
    <cellStyle name="Input 3" xfId="461" xr:uid="{E33228A3-12FB-40F1-9671-21719EF7661E}"/>
    <cellStyle name="Input 3 2" xfId="462" xr:uid="{9C724D55-839C-40E7-874A-1F56C8ED25F9}"/>
    <cellStyle name="Input 4" xfId="463" xr:uid="{270AF060-DF93-42DF-8804-5CF4241A083B}"/>
    <cellStyle name="Input_50_ceny" xfId="464" xr:uid="{AF0D4CAB-7986-4D7C-A2E0-51970083636A}"/>
    <cellStyle name="Invoer" xfId="465" xr:uid="{6A772EDD-6AD1-408C-87FA-0C88C86241E0}"/>
    <cellStyle name="Invoer 2" xfId="466" xr:uid="{5C747DF8-0551-44AA-9B90-8D588E6EDE78}"/>
    <cellStyle name="Komórka po??czona" xfId="467" xr:uid="{05C8E176-9D78-4A13-8302-E45C635C14FD}"/>
    <cellStyle name="Komórka połączona 2" xfId="468" xr:uid="{28E6F98F-9E88-411D-8EC9-267CC9DA8061}"/>
    <cellStyle name="Komórka połączona 2 2" xfId="469" xr:uid="{2E4601BB-3BCD-4F74-A59B-9FAC29B349DF}"/>
    <cellStyle name="Komórka połączona 2 3" xfId="470" xr:uid="{9F745D69-1AF8-4A28-A0BD-FBE57C4D293A}"/>
    <cellStyle name="Komórka połączona 3" xfId="471" xr:uid="{F27EAAB5-FCED-400A-87E4-59CD432E45C9}"/>
    <cellStyle name="Komórka zaznaczona 2" xfId="472" xr:uid="{73117542-1991-4DDF-AA86-27EC823A9B13}"/>
    <cellStyle name="Komórka zaznaczona 2 2" xfId="473" xr:uid="{3B15056C-C9CF-41E1-B2EA-029889B16859}"/>
    <cellStyle name="Komórka zaznaczona 2 3" xfId="474" xr:uid="{02668C8C-6393-4E04-9B00-EB1F135F10A9}"/>
    <cellStyle name="Komórka zaznaczona 3" xfId="475" xr:uid="{6518A429-3C58-4811-B9DD-E81AF0500B77}"/>
    <cellStyle name="Linked Cell" xfId="476" xr:uid="{414769A5-CBFB-417D-B07A-74EB4FFE1CE1}"/>
    <cellStyle name="Linked Cell 2" xfId="477" xr:uid="{486F7E4D-BE4C-4368-999A-15F596F0FEC6}"/>
    <cellStyle name="Linked Cell_Additional price" xfId="478" xr:uid="{1D908678-AB6F-4AA5-919A-1E3FCD9C0A3A}"/>
    <cellStyle name="Nag?ówek 1" xfId="479" xr:uid="{3E09C215-7C77-4A0A-BF56-9A5A4B034478}"/>
    <cellStyle name="Nag?ówek 2" xfId="480" xr:uid="{E27CB09E-3F1B-4922-B654-D6F974CEDFF9}"/>
    <cellStyle name="Nag?ówek 3" xfId="481" xr:uid="{C4A18A66-14E1-43D2-B8C8-E797E65A2022}"/>
    <cellStyle name="Nag?ówek 3 2" xfId="482" xr:uid="{8026F1F1-12AA-4A14-836B-EBBF5FCD993F}"/>
    <cellStyle name="Nag?ówek 4" xfId="483" xr:uid="{AFE41224-2250-4FFD-9144-4FC75D7C4F54}"/>
    <cellStyle name="Nagłówek 1 1" xfId="484" xr:uid="{F867B03E-A09A-4CDA-B231-5067E9FFF26D}"/>
    <cellStyle name="Nagłówek 1 2" xfId="485" xr:uid="{8E22DF3A-DAB8-4EC2-80B5-887D19CF289E}"/>
    <cellStyle name="Nagłówek 1 2 2" xfId="486" xr:uid="{3B4BE206-1263-45FE-B23B-55C40ED9645B}"/>
    <cellStyle name="Nagłówek 1 2 3" xfId="487" xr:uid="{2FA62B60-1BF6-4B66-8E72-47FD45734CCF}"/>
    <cellStyle name="Nagłówek 1 3" xfId="488" xr:uid="{F1FB6E01-D053-4BF0-80EF-F629D03C4380}"/>
    <cellStyle name="Nagłówek 1 4" xfId="489" xr:uid="{959EF141-94ED-412D-9A72-B3B690AD470E}"/>
    <cellStyle name="Nagłówek 2 1" xfId="490" xr:uid="{85B05182-1F45-4F0D-BCA4-38AC24E138CC}"/>
    <cellStyle name="Nagłówek 2 2" xfId="491" xr:uid="{19DC06FF-8F4E-4DE3-B565-5D054584E6E1}"/>
    <cellStyle name="Nagłówek 2 2 2" xfId="492" xr:uid="{FCA99EAF-79CA-4DAA-8BD9-EB77C122106D}"/>
    <cellStyle name="Nagłówek 2 2 3" xfId="493" xr:uid="{2D3AADD6-6F4E-46B7-8999-C494C8C9B6E4}"/>
    <cellStyle name="Nagłówek 2 3" xfId="494" xr:uid="{5E619230-3C00-4C58-A112-324DEC7A5B97}"/>
    <cellStyle name="Nagłówek 2 4" xfId="495" xr:uid="{DCF0B24A-91EE-4251-9444-2BEEA07BE0EE}"/>
    <cellStyle name="Nagłówek 3 2" xfId="496" xr:uid="{2D08A049-AE02-45A5-98E7-D41C2B860D0C}"/>
    <cellStyle name="Nagłówek 3 2 2" xfId="497" xr:uid="{68782DAC-4F4D-440C-AF27-13EEB6E9D87A}"/>
    <cellStyle name="Nagłówek 3 2 3" xfId="498" xr:uid="{E9B9483A-625D-4805-9E38-DBF38A9646D6}"/>
    <cellStyle name="Nagłówek 3 3" xfId="499" xr:uid="{69AA2518-D5CA-406A-A361-647D1DF7305A}"/>
    <cellStyle name="Nagłówek 3 4" xfId="500" xr:uid="{1A9301EC-DDF7-4355-839E-02A010A8FCE4}"/>
    <cellStyle name="Nagłówek 4 2" xfId="501" xr:uid="{F80C49BD-3DF3-4B88-A814-AC459927ACDC}"/>
    <cellStyle name="Nagłówek 4 2 2" xfId="502" xr:uid="{A7EBD823-7C4A-4744-A197-EE6D62C7269B}"/>
    <cellStyle name="Nagłówek 4 2 3" xfId="503" xr:uid="{05565CFB-B386-4FFA-B7EE-DEB3F61312B1}"/>
    <cellStyle name="Nagłówek 4 3" xfId="504" xr:uid="{64D0D62E-4938-41E5-B16C-B309B2312253}"/>
    <cellStyle name="Nagłówek 4 4" xfId="505" xr:uid="{3655885E-73F6-42EC-84DC-428B1FB41F4D}"/>
    <cellStyle name="Neutral" xfId="506" xr:uid="{FD5D6EAD-C8D4-4896-938F-91ABB830A238}"/>
    <cellStyle name="Neutral 1" xfId="507" xr:uid="{39AE0EAD-DEB7-41EC-9E35-80544E7956BF}"/>
    <cellStyle name="Neutral 1 2" xfId="508" xr:uid="{4BF2C48D-12FE-41B9-A057-BDA3B1996B08}"/>
    <cellStyle name="Neutral 1 3" xfId="509" xr:uid="{7912CE28-3463-4B85-B84D-76D306F15C80}"/>
    <cellStyle name="Neutral 2" xfId="510" xr:uid="{02CFCC38-08D3-49C8-A038-7E501DFE0F39}"/>
    <cellStyle name="Neutral 9" xfId="511" xr:uid="{E37708F9-F07A-4EEB-A5B5-FDAD13E3E46D}"/>
    <cellStyle name="Neutral_50_ceny" xfId="512" xr:uid="{FEC79A33-75C6-4E6F-B591-2F8AEA93AA10}"/>
    <cellStyle name="Neutralne" xfId="513" xr:uid="{4806ADC9-1502-407F-8AEB-C44A48C0C7B3}"/>
    <cellStyle name="Neutralne 2" xfId="514" xr:uid="{3589B88D-8EC2-4574-A480-75F8990AF319}"/>
    <cellStyle name="Neutralne_Additional price" xfId="515" xr:uid="{BD2580F3-8F38-47EA-99E7-38A38FB1B163}"/>
    <cellStyle name="Neutralny 2" xfId="516" xr:uid="{0EFEB3D8-994C-42C5-92A9-03CD16AB0912}"/>
    <cellStyle name="Neutralny 3" xfId="517" xr:uid="{A5F2B424-35FE-4667-8F70-B247F9048277}"/>
    <cellStyle name="Normal 2" xfId="518" xr:uid="{B5001FDC-48F2-4F1E-AC39-B8D5F6E4E462}"/>
    <cellStyle name="Normal 2 2" xfId="519" xr:uid="{6E8D6D63-A647-424E-B1EB-70174BFC7AE0}"/>
    <cellStyle name="Normal 2_CENA" xfId="520" xr:uid="{5F6862C7-B44E-443D-BE9A-6733348BF011}"/>
    <cellStyle name="Normal 3" xfId="521" xr:uid="{78E83B38-3278-42CC-80AD-0D6DD5A0391C}"/>
    <cellStyle name="Normal 4" xfId="522" xr:uid="{F2155009-5808-4E52-B9E2-BEA1C268FF96}"/>
    <cellStyle name="Normal 4 2" xfId="523" xr:uid="{A522D6EF-5634-4FDE-8AC7-44789679B6EE}"/>
    <cellStyle name="Normalny" xfId="0" builtinId="0"/>
    <cellStyle name="Normalny 10" xfId="524" xr:uid="{A6950FDC-2643-4F93-90B7-94C34C7A7608}"/>
    <cellStyle name="Normalny 13" xfId="525" xr:uid="{7A9452E9-CAD4-46FF-83F7-46CCB164856C}"/>
    <cellStyle name="Normalny 2" xfId="526" xr:uid="{91EE36EC-B742-4B90-B9C0-19D8649B05DE}"/>
    <cellStyle name="Normalny 2 2" xfId="527" xr:uid="{6D857239-6977-4ADA-8660-59CDCB06CE2C}"/>
    <cellStyle name="Normalny 2 2 2" xfId="528" xr:uid="{C53813EE-D35E-445D-8A86-533AEE9486C9}"/>
    <cellStyle name="Normalny 2 2 3" xfId="529" xr:uid="{4FBD091A-74B2-4C6D-A548-55B812FDC7F3}"/>
    <cellStyle name="Normalny 2 2_CENA" xfId="530" xr:uid="{FF749364-0D81-4C0B-B8DF-04CC4A512E4A}"/>
    <cellStyle name="Normalny 2 3" xfId="531" xr:uid="{36B00CB5-E2BD-4771-AD70-1FA6BB92F591}"/>
    <cellStyle name="Normalny 2 4" xfId="532" xr:uid="{F142EA03-1DB5-4D82-BCA7-3B84BBD713DA}"/>
    <cellStyle name="Normalny 2 4 2" xfId="533" xr:uid="{CC73CE00-948E-4626-BCF8-F79AAA51E759}"/>
    <cellStyle name="Normalny 2 4 3" xfId="534" xr:uid="{337CBD9D-6788-416C-AC8F-0DCC486FA254}"/>
    <cellStyle name="Normalny 2 4_IMPORT" xfId="535" xr:uid="{A257DE10-D77A-4E2F-B7F9-C648DE4C3710}"/>
    <cellStyle name="Normalny 2 5" xfId="536" xr:uid="{F55E7537-6F1E-4F88-8333-BF320D7FE9B6}"/>
    <cellStyle name="Normalny 2 6" xfId="537" xr:uid="{C42D1E03-E6EB-4E21-93C4-B7A43AB29886}"/>
    <cellStyle name="Normalny 2 7" xfId="538" xr:uid="{EB109A32-6A83-4CAD-AF75-D03565D6CFDB}"/>
    <cellStyle name="Normalny 2 8" xfId="539" xr:uid="{F3BC669B-EA4D-4871-97A8-A22A18ED85B7}"/>
    <cellStyle name="Normalny 2_50_ceny" xfId="540" xr:uid="{C0225286-21B5-43AC-899C-D02D43446847}"/>
    <cellStyle name="Normalny 3" xfId="541" xr:uid="{964EA074-054B-40B0-BF65-AE6281A15025}"/>
    <cellStyle name="Normalny 3 2" xfId="542" xr:uid="{D440660B-7760-4AE4-B17C-C79998D82388}"/>
    <cellStyle name="Normalny 3 2 2" xfId="543" xr:uid="{15DC346F-3DE1-4EE6-BC93-E71891FB17E9}"/>
    <cellStyle name="Normalny 3 2 3" xfId="544" xr:uid="{187131A2-1A34-4291-B683-50913B4F238B}"/>
    <cellStyle name="Normalny 3 2 4" xfId="545" xr:uid="{F26D292F-A530-4885-8144-085949E3989A}"/>
    <cellStyle name="Normalny 3 2_CENA" xfId="546" xr:uid="{63C50FD1-D4F6-4DA0-915F-055BCBF1B0BA}"/>
    <cellStyle name="Normalny 3 3" xfId="547" xr:uid="{4FEC4A33-EBDC-41BF-8282-FD662C2CFE7A}"/>
    <cellStyle name="Normalny 3 3 2" xfId="548" xr:uid="{C7C8113B-7C70-4C4E-A86A-2AF3CAFFCD82}"/>
    <cellStyle name="Normalny 3 3_IMPORT" xfId="549" xr:uid="{C2F28AC9-E10A-4D30-9071-6DC5AFDF8F03}"/>
    <cellStyle name="Normalny 3 4" xfId="550" xr:uid="{ABCA5043-8851-4B1E-90F4-01170C929923}"/>
    <cellStyle name="Normalny 3 5" xfId="551" xr:uid="{03B00ECD-C89B-4839-9556-929FF9E8F068}"/>
    <cellStyle name="Normalny 3 6" xfId="552" xr:uid="{C99DAE50-B57E-4F45-B0E9-8CA8E621B559}"/>
    <cellStyle name="Normalny 3_50_ceny" xfId="553" xr:uid="{AA38020C-C7FD-4D1F-8ABE-2B86324DC94E}"/>
    <cellStyle name="Normalny 4" xfId="554" xr:uid="{90BF782D-AAB5-4E0D-9205-ED1AE59EBC0D}"/>
    <cellStyle name="Normalny 4 2" xfId="555" xr:uid="{A1995F66-9136-4926-8FB4-84028F82FB92}"/>
    <cellStyle name="Normalny 4 2 2" xfId="556" xr:uid="{A95EF2D6-EA49-4336-A09E-FA27F138EB47}"/>
    <cellStyle name="Normalny 4 2 3" xfId="557" xr:uid="{AD03FC08-3A83-4511-A63E-ED0487A4E089}"/>
    <cellStyle name="Normalny 4 2_IMPORT" xfId="558" xr:uid="{75C2F3F7-34F2-41C1-AB4B-21CB228244EF}"/>
    <cellStyle name="Normalny 4 3" xfId="559" xr:uid="{BF89F9D7-A013-460D-9333-EF464AC7D6AE}"/>
    <cellStyle name="Normalny 4 4" xfId="560" xr:uid="{D82594E5-E7FB-431C-97AD-F9D3C28E1A28}"/>
    <cellStyle name="Normalny 4_16_25_wartości importów_2" xfId="561" xr:uid="{9ACE7B75-9077-4955-B130-88737C7C5F5E}"/>
    <cellStyle name="Normalny 5" xfId="562" xr:uid="{6F09B517-79CB-4913-863C-616D905E88F2}"/>
    <cellStyle name="Normalny 6" xfId="563" xr:uid="{09BA90EE-72E2-4B00-AE98-73FFDC462C0A}"/>
    <cellStyle name="Normalny 7" xfId="564" xr:uid="{C271FE99-96F7-4734-9B28-E3A95325B408}"/>
    <cellStyle name="Normalny 7 2" xfId="565" xr:uid="{085970CE-27FC-4390-85A3-98BBC2421D6E}"/>
    <cellStyle name="Normalny 7 3" xfId="566" xr:uid="{0B7B84CA-1D56-4306-832E-637C341F870B}"/>
    <cellStyle name="Normalny 7_IMPORT" xfId="567" xr:uid="{AAE6734C-8052-4C9A-81C3-0063B598D4F6}"/>
    <cellStyle name="Normalny 8" xfId="568" xr:uid="{798039EF-F5B7-46A3-8AEA-A87BD5B4EF9E}"/>
    <cellStyle name="Normalny 9" xfId="569" xr:uid="{97133F69-934A-45F3-9F9B-56B4DB0921EF}"/>
    <cellStyle name="Normalny_Arkusz1" xfId="570" xr:uid="{E3C2E373-F1F9-4E96-9F8D-12925173D25E}"/>
    <cellStyle name="Normalny_d" xfId="571" xr:uid="{B5C25856-1239-4FC6-AFC7-A3C48D6D79E3}"/>
    <cellStyle name="Normalny_IMPORT" xfId="572" xr:uid="{26861A3C-A247-4814-97C2-F60007EE3EF7}"/>
    <cellStyle name="Normalny_IMPORT_1" xfId="573" xr:uid="{27696380-F993-4A92-8240-5B7C1E86D685}"/>
    <cellStyle name="Normalny_IMPORT_3" xfId="704" xr:uid="{5DAC5B5A-EA7B-4E58-A3B6-63F33BF28C0C}"/>
    <cellStyle name="Normalny_Kolory" xfId="574" xr:uid="{BA7483B2-74E7-45AE-9724-6B61252BD6F4}"/>
    <cellStyle name="Normalny_slownik" xfId="575" xr:uid="{D46A486A-4B24-4A88-9A5A-FAA2F8BAF03C}"/>
    <cellStyle name="Normalny_slownik_3" xfId="576" xr:uid="{544109BC-9993-4A5A-A048-862281E0B8D4}"/>
    <cellStyle name="Note" xfId="577" xr:uid="{A5FD93F2-8063-4CFB-A3A3-719919CE82FD}"/>
    <cellStyle name="Note 1" xfId="578" xr:uid="{4729F1D7-0A77-4A7E-AF17-2E2CB04282B5}"/>
    <cellStyle name="Note 1 2" xfId="579" xr:uid="{16142A1A-47C2-42A9-AE38-3EFCCACED5AD}"/>
    <cellStyle name="Note 2" xfId="580" xr:uid="{C5E6660F-1DFE-4F59-B2E4-4D2A4B8312C3}"/>
    <cellStyle name="Note 2 2" xfId="581" xr:uid="{E1C04C6D-1875-4A26-B90B-2118588F86A8}"/>
    <cellStyle name="Note 2 2 2" xfId="582" xr:uid="{88364DC1-802D-40FD-B0AF-E4E157CFF78D}"/>
    <cellStyle name="Note 2 3" xfId="583" xr:uid="{07E41EC9-051A-4B61-9068-0DA618AABE55}"/>
    <cellStyle name="Note 2_def" xfId="584" xr:uid="{AD1C6820-DB00-4FD6-BF02-931DF7D03203}"/>
    <cellStyle name="Note 3" xfId="585" xr:uid="{52A909D3-F1E9-4E1C-9C85-3C8FAA015739}"/>
    <cellStyle name="Note 3 2" xfId="586" xr:uid="{1B8A0488-28BF-4201-A82E-6AAF6AFC4582}"/>
    <cellStyle name="Note 4" xfId="587" xr:uid="{247B7B3E-A3B7-40D4-9AFD-523733BBA6DC}"/>
    <cellStyle name="Note 4 2" xfId="588" xr:uid="{7CAD2A31-A580-4308-8662-EEF1AC10D636}"/>
    <cellStyle name="Note_50_ceny" xfId="589" xr:uid="{8B8256F7-D4A6-4BF9-94B4-1303FF6A2C72}"/>
    <cellStyle name="Notiz" xfId="590" xr:uid="{7CEF3D7A-BF98-4EDA-A5BF-892352097070}"/>
    <cellStyle name="Notiz 2" xfId="591" xr:uid="{1BD769EB-D141-4B5F-A6C0-2C7951636A8E}"/>
    <cellStyle name="Notiz_IMPORT" xfId="592" xr:uid="{2D8F850F-BA1C-4582-ACC3-F976C6DB8320}"/>
    <cellStyle name="Obliczenia 2" xfId="593" xr:uid="{3DE62245-9333-4DFE-B49B-FCEBB1A100D9}"/>
    <cellStyle name="Obliczenia 2 2" xfId="594" xr:uid="{3014E1E8-388A-417D-B945-445E3E8928A9}"/>
    <cellStyle name="Obliczenia 2 3" xfId="595" xr:uid="{C74ACF8D-299F-4165-9576-9AFA1AF56432}"/>
    <cellStyle name="Obliczenia 3" xfId="596" xr:uid="{282F7419-CD90-4744-A98B-9CDD9E2A9E95}"/>
    <cellStyle name="Obliczenia 4" xfId="597" xr:uid="{F924F002-E0EA-475B-A44F-0F8DB506715D}"/>
    <cellStyle name="Output" xfId="598" xr:uid="{7D1EDE6E-FC42-4D57-868E-0C7D75A091D7}"/>
    <cellStyle name="Output 2" xfId="599" xr:uid="{A90186FC-78CD-47EC-B17C-3342FC368AA0}"/>
    <cellStyle name="Output_Additional price" xfId="600" xr:uid="{786772D5-CDCF-4A8D-8E5E-2BB0A88A8D0B}"/>
    <cellStyle name="Percent 2" xfId="601" xr:uid="{80F14780-2E8D-4EC5-AB18-D5EEC4FDFF0F}"/>
    <cellStyle name="Pivot Table Category" xfId="602" xr:uid="{42C66BB4-F920-40A9-BA4F-59E0608F72F6}"/>
    <cellStyle name="Pivot Table Category 2" xfId="603" xr:uid="{7C3F88CE-F90D-47CE-A166-A3A0B8BD73EB}"/>
    <cellStyle name="Pivot Table Corner" xfId="604" xr:uid="{42420B70-DE7A-4DA8-95EB-4ACFF8CF8EE1}"/>
    <cellStyle name="Pivot Table Corner 2" xfId="605" xr:uid="{8765829F-8F9A-46D4-B13A-F8AE24BAC779}"/>
    <cellStyle name="Pivot Table Field" xfId="606" xr:uid="{14F8B95F-E471-4E00-8B8A-6AB41F840C9F}"/>
    <cellStyle name="Pivot Table Field 2" xfId="607" xr:uid="{C5B48A7E-9AEF-4712-9D3E-7F14CFF09B56}"/>
    <cellStyle name="Pivot Table Result" xfId="608" xr:uid="{C7491058-557F-4051-A67A-41CF63A3A922}"/>
    <cellStyle name="Pivot Table Result 2" xfId="609" xr:uid="{CFEB260B-1A1E-456A-B41C-9E83ECEE2F60}"/>
    <cellStyle name="Pivot Table Result_IMPORT" xfId="610" xr:uid="{7DFF0787-B7BF-4A21-833F-C97C2EB28C4F}"/>
    <cellStyle name="Pivot Table Title" xfId="611" xr:uid="{4D02891A-AE9E-4AAD-9389-B1D284BAFB35}"/>
    <cellStyle name="Pivot Table Title 2" xfId="612" xr:uid="{E7111D39-BEE8-4D31-A071-187211FC03BD}"/>
    <cellStyle name="Pivot Table Title_IMPORT" xfId="613" xr:uid="{A0F86C63-9362-47FC-A946-DF7D9B07E923}"/>
    <cellStyle name="Pivot Table Value" xfId="614" xr:uid="{D6731328-7B14-4B56-8B0B-D36DC42C31A5}"/>
    <cellStyle name="Pivot Table Value 2" xfId="615" xr:uid="{3F792780-D0C0-430E-9D51-63ACF71E9E8E}"/>
    <cellStyle name="Procentowy 2" xfId="616" xr:uid="{3D1127AA-B4F2-4D81-A262-B60AA55465C7}"/>
    <cellStyle name="Procentowy 2 2" xfId="617" xr:uid="{B0301C3A-F05A-46ED-B934-4D74409E1C2F}"/>
    <cellStyle name="Procentowy 2 3" xfId="618" xr:uid="{DEE7B272-B032-4331-9045-B166AFD23310}"/>
    <cellStyle name="Procentowy 2_CENA" xfId="619" xr:uid="{374FBD2A-DD2C-4FAC-A96E-3512345C9A5B}"/>
    <cellStyle name="Result" xfId="620" xr:uid="{D1F3154B-CA77-412F-B31A-A37D1AF6D6F3}"/>
    <cellStyle name="Result2" xfId="621" xr:uid="{9CD6E223-8FA8-4B80-8B60-D5E8E9CACA23}"/>
    <cellStyle name="Schlecht" xfId="622" xr:uid="{6CD2C7FF-51B6-41FD-8D56-6E1F92FF2B38}"/>
    <cellStyle name="Sheet Title" xfId="623" xr:uid="{15E5641D-4577-411D-8B1A-EA578353ED84}"/>
    <cellStyle name="Standaard 13" xfId="624" xr:uid="{D68DBE99-FD00-4432-BC05-1AB4208BF77D}"/>
    <cellStyle name="Standaard 2" xfId="625" xr:uid="{F86943AB-4366-4BE6-8A89-EDC132135850}"/>
    <cellStyle name="Standaard 2 2" xfId="626" xr:uid="{2DA7DE19-C19B-456A-80BD-8EAB0EA01304}"/>
    <cellStyle name="Standaard 2 3" xfId="627" xr:uid="{5C306EFC-063A-4E5E-A1DF-F725B6C1CE2B}"/>
    <cellStyle name="Standaard 3" xfId="628" xr:uid="{865D3064-7820-4239-B375-27E851079A4A}"/>
    <cellStyle name="Standaard 3 2" xfId="629" xr:uid="{C01468E1-2FD9-4785-8163-EF04185A5DC6}"/>
    <cellStyle name="Standaard 3 3" xfId="630" xr:uid="{5A2A2BD2-1B72-4C14-B0A4-A51DCB103D0F}"/>
    <cellStyle name="Standaard 4" xfId="631" xr:uid="{A81686E8-6CB1-4BF0-A5AF-039CB82E828F}"/>
    <cellStyle name="Standaard 7" xfId="632" xr:uid="{277CAC97-F742-45A0-9082-CEEA077DDC65}"/>
    <cellStyle name="Standaard_Blad1" xfId="633" xr:uid="{4E102E9A-FC8C-46B2-BE33-2AEE51628F49}"/>
    <cellStyle name="Standard 2" xfId="634" xr:uid="{E4A6779E-59E5-4B4B-95D3-5C03C39BE5DC}"/>
    <cellStyle name="Standard 2 2" xfId="635" xr:uid="{F60C50C3-C539-4C15-8094-72B2269216CA}"/>
    <cellStyle name="Standard 2 3" xfId="636" xr:uid="{F4AFC93E-FEB4-4946-9F29-66F3DE8916CE}"/>
    <cellStyle name="Standard 3" xfId="637" xr:uid="{4DC7EE2D-66BF-49AD-BAB0-FEEAEC4FE8D5}"/>
    <cellStyle name="Status" xfId="638" xr:uid="{5309A46D-4DA5-499F-838D-817BF152E12A}"/>
    <cellStyle name="Status 7" xfId="639" xr:uid="{B484DA61-EC8D-4B9B-8CB9-2B2AFCF6DBC0}"/>
    <cellStyle name="Status_slownik" xfId="640" xr:uid="{2D7289D8-CC68-4441-8684-D708CD139B50}"/>
    <cellStyle name="Suma 2" xfId="641" xr:uid="{B001F4D6-8147-4D22-8C48-A77E0D695D52}"/>
    <cellStyle name="Suma 2 2" xfId="642" xr:uid="{7810EA58-9A7B-4BC6-8260-335D2B820E3D}"/>
    <cellStyle name="Suma 2 3" xfId="643" xr:uid="{F409883B-CB10-45D4-81AD-99C03DC1D23D}"/>
    <cellStyle name="Suma 3" xfId="644" xr:uid="{A8D93EAC-43DA-481F-AFCA-6D3F999C5BF4}"/>
    <cellStyle name="Tabellenvorlage Cosiflor" xfId="645" xr:uid="{D979C23A-FF60-4B05-8DD7-11CB6765E2C2}"/>
    <cellStyle name="Tekst obja?nienia" xfId="646" xr:uid="{EAD91E1C-F2D8-4035-986D-D9AE4DE6EF08}"/>
    <cellStyle name="Tekst objaśnienia 2" xfId="647" xr:uid="{39EE002A-BED6-40A0-B74D-E849C36555C3}"/>
    <cellStyle name="Tekst objaśnienia 2 2" xfId="648" xr:uid="{CBF3FCB1-07D2-47BC-8E25-5B2F033BD597}"/>
    <cellStyle name="Tekst objaśnienia 2 3" xfId="649" xr:uid="{8C4E1FD2-0A93-46B1-8CAD-33C98204C860}"/>
    <cellStyle name="Tekst objaśnienia 3" xfId="650" xr:uid="{50DD22A1-2707-4CB5-B726-60EB693537F6}"/>
    <cellStyle name="Tekst ostrze?enia" xfId="651" xr:uid="{78B6E921-7BE2-4362-9027-0B52EF0CF479}"/>
    <cellStyle name="Tekst ostrzeżenia 2" xfId="652" xr:uid="{1A97D586-8C04-4F59-90DA-C6D6B1006173}"/>
    <cellStyle name="Tekst ostrzeżenia 2 2" xfId="653" xr:uid="{F4363375-AED8-4782-B92E-53F28E6DDD21}"/>
    <cellStyle name="Tekst ostrzeżenia 2 3" xfId="654" xr:uid="{7F981636-ACBB-414A-97B2-F0C595C2827F}"/>
    <cellStyle name="Tekst ostrzeżenia 3" xfId="655" xr:uid="{228F9ED6-4E48-49CF-A2A2-A3BD49BDC4FE}"/>
    <cellStyle name="Text" xfId="656" xr:uid="{0C818064-8ECE-4850-BB19-2A5CEB4B2640}"/>
    <cellStyle name="Text 3" xfId="657" xr:uid="{D7C7C5D4-57E8-4EBF-9230-33AFC549C350}"/>
    <cellStyle name="Text_slownik" xfId="658" xr:uid="{FB7EAF66-23A1-4610-8F92-EF860F91D811}"/>
    <cellStyle name="Title" xfId="659" xr:uid="{80F503BA-363F-4A1E-9E65-8C84CC1ADBE9}"/>
    <cellStyle name="Totaal" xfId="660" xr:uid="{0241E26D-0C66-4304-B588-1CBD9A6600DC}"/>
    <cellStyle name="Totaal 2" xfId="661" xr:uid="{E4163954-2788-46A9-B8A7-82E8FEFF03B2}"/>
    <cellStyle name="Total" xfId="662" xr:uid="{7CB04149-6470-42A7-95F2-EC9C88D870E0}"/>
    <cellStyle name="Total 2" xfId="663" xr:uid="{FE616D8E-902B-4FA9-B559-3D01918CBFF8}"/>
    <cellStyle name="Total_Additional price" xfId="664" xr:uid="{33E9D8C9-72D9-4956-B356-FBAE2165E9A4}"/>
    <cellStyle name="Tytu?" xfId="665" xr:uid="{F694E516-225A-4D7E-A410-6E98226D529B}"/>
    <cellStyle name="Tytuł 2" xfId="666" xr:uid="{F0486936-C22C-4377-AB05-694BA0F64995}"/>
    <cellStyle name="Tytuł 2 2" xfId="667" xr:uid="{F135EFF5-22E9-4F08-87F8-85C2119FAC1C}"/>
    <cellStyle name="Tytuł 2 3" xfId="668" xr:uid="{BD4228CF-09E8-4EC6-8297-EB14B6BB31E7}"/>
    <cellStyle name="Tytuł 3" xfId="669" xr:uid="{06CBEE9F-3360-4CFB-B154-B1DD04B4EDCD}"/>
    <cellStyle name="Tytuł 4" xfId="670" xr:uid="{86E64BA0-EF10-415E-808A-AAB4445AA3F1}"/>
    <cellStyle name="Überschrift" xfId="671" xr:uid="{0FFE496E-C0CA-405D-86A5-2F57719D5FBD}"/>
    <cellStyle name="Überschrift 1" xfId="672" xr:uid="{875DCB09-FD34-4FB1-A49E-D6EE9429E797}"/>
    <cellStyle name="Überschrift 2" xfId="673" xr:uid="{CA16599E-D2B5-48A3-B67C-C6F434F3B4F7}"/>
    <cellStyle name="Überschrift 3" xfId="674" xr:uid="{0C24EA4D-728A-4F4E-8FBE-33BBA9FDDCA7}"/>
    <cellStyle name="Überschrift 3 2" xfId="675" xr:uid="{ED1C5B6F-A393-4559-B159-490363B080E7}"/>
    <cellStyle name="Überschrift 3_IMPORT" xfId="676" xr:uid="{AF278875-B9A7-4DD2-837E-E1A72DE8270C}"/>
    <cellStyle name="Überschrift 4" xfId="677" xr:uid="{F3F95133-166D-4DEC-B1EE-04EF1A365C5D}"/>
    <cellStyle name="Überschrift_EL" xfId="678" xr:uid="{033CD22C-C20B-43FC-9708-64BE38A6DDC3}"/>
    <cellStyle name="Uitvoer" xfId="679" xr:uid="{F2D19B09-7E1A-4F3C-B04E-758CBE10AC74}"/>
    <cellStyle name="Uitvoer 2" xfId="680" xr:uid="{8456C397-DF77-43F2-945E-E38E416363FD}"/>
    <cellStyle name="Uwaga 2" xfId="681" xr:uid="{4C657C7D-459E-4599-83E5-36E63A4E373A}"/>
    <cellStyle name="Uwaga 2 2" xfId="682" xr:uid="{4D44C1BE-2391-4025-9742-2C300CEACC29}"/>
    <cellStyle name="Uwaga 2 3" xfId="683" xr:uid="{738C990B-C118-456A-A96E-27CE117E7688}"/>
    <cellStyle name="Uwaga 3" xfId="684" xr:uid="{7B272B9A-023A-4541-8FF8-FE06A714741D}"/>
    <cellStyle name="Verklarende tekst" xfId="685" xr:uid="{7A74F5E8-825D-4CEA-A481-DE4092394169}"/>
    <cellStyle name="Verknüpfte Zelle" xfId="686" xr:uid="{0E5990A6-A306-4501-A6FD-5E8C5708BBA9}"/>
    <cellStyle name="Waarschuwingstekst" xfId="687" xr:uid="{04F22B0C-F340-4E6A-8E9B-1888483B767B}"/>
    <cellStyle name="Währung 2" xfId="688" xr:uid="{73E378E6-D5A6-4818-B4D8-E241211DF646}"/>
    <cellStyle name="Währung 2 2" xfId="689" xr:uid="{7D1AC42E-2EB2-42AE-9352-5ECEBF5A169C}"/>
    <cellStyle name="Währung 2_IMPORT" xfId="690" xr:uid="{0DE62FCB-BAF3-4C99-96AF-AAD511672717}"/>
    <cellStyle name="Warnender Text" xfId="691" xr:uid="{16F99190-256D-40F3-B709-F7943CB406A0}"/>
    <cellStyle name="Warning" xfId="692" xr:uid="{6EA03D1C-F9AD-49D6-B38F-70CAA61A96F0}"/>
    <cellStyle name="Warning 11" xfId="693" xr:uid="{10F06474-7D91-471B-A61B-ECDEAD9F53B9}"/>
    <cellStyle name="Warning Text" xfId="694" xr:uid="{BA0C9FAC-F4F2-4A4E-99F6-50ED1385B58B}"/>
    <cellStyle name="Warning Text 2" xfId="695" xr:uid="{20095C3F-6F30-4E0C-BC14-1ACD14DB0516}"/>
    <cellStyle name="Warning Text_Additional price" xfId="696" xr:uid="{3396CC92-FCA0-4D4E-9E98-BE9F007BC003}"/>
    <cellStyle name="Z?e" xfId="697" xr:uid="{0273FD9C-7973-4DD6-B44D-85B02A27EBDC}"/>
    <cellStyle name="Zelle überprüfen" xfId="698" xr:uid="{8C7B1384-95E1-478E-9152-D3A6529A4462}"/>
    <cellStyle name="Złe" xfId="699" xr:uid="{CA3328C5-A2BD-42D0-8E23-D1F7C5C7ABDF}"/>
    <cellStyle name="Złe 2" xfId="700" xr:uid="{882AE3E7-F3F7-443C-9B58-E1A4E130FBF6}"/>
    <cellStyle name="Złe_Additional price" xfId="701" xr:uid="{E93D4990-70FF-4438-BF6E-124AD0DCDA02}"/>
    <cellStyle name="Zły 2" xfId="702" xr:uid="{76E59F2B-1515-4DB7-B7AE-EE53F56843A2}"/>
    <cellStyle name="Zły 3" xfId="703" xr:uid="{E87BF6F6-C7C9-437D-BDDE-2884939EC1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1@1.pl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149C-C371-42B2-8304-527D68260943}">
  <sheetPr codeName="Arkusz1"/>
  <dimension ref="A1:CE135"/>
  <sheetViews>
    <sheetView tabSelected="1" topLeftCell="BI1" zoomScale="115" zoomScaleNormal="115" workbookViewId="0">
      <pane ySplit="1" topLeftCell="A2" activePane="bottomLeft" state="frozen"/>
      <selection pane="bottomLeft" activeCell="BQ2" sqref="BQ2"/>
    </sheetView>
  </sheetViews>
  <sheetFormatPr defaultRowHeight="15"/>
  <cols>
    <col min="1" max="1" bestFit="true" customWidth="true" width="16.85546875" collapsed="false"/>
    <col min="2" max="2" bestFit="true" customWidth="true" width="30.0" collapsed="false"/>
    <col min="3" max="3" bestFit="true" customWidth="true" width="19.140625" collapsed="false"/>
    <col min="4" max="4" bestFit="true" customWidth="true" width="16.5703125" collapsed="false"/>
    <col min="5" max="5" customWidth="true" width="34.42578125" collapsed="true"/>
    <col min="6" max="6" customWidth="true" width="20.7109375" collapsed="false"/>
    <col min="7" max="8" customWidth="true" width="10.7109375" collapsed="false"/>
    <col min="9" max="9" customWidth="true" width="10.7109375" collapsed="true"/>
    <col min="10" max="10" bestFit="true" customWidth="true" width="28.140625" collapsed="false"/>
    <col min="11" max="12" customWidth="true" width="10.7109375" collapsed="false"/>
    <col min="13" max="13" customWidth="true" width="4.0" collapsed="false"/>
    <col min="14" max="14" bestFit="true" customWidth="true" width="15.2851562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8.42578125" collapsed="false"/>
    <col min="18" max="18" bestFit="true" customWidth="true" width="23.42578125" collapsed="true"/>
    <col min="19" max="19" customWidth="true" width="30.7109375" collapsed="true"/>
    <col min="20" max="20" bestFit="true" customWidth="true" width="20.0" collapsed="true"/>
    <col min="21" max="21" bestFit="true" customWidth="true" width="33.28515625" collapsed="true"/>
    <col min="22" max="22" bestFit="true" customWidth="true" width="20.28515625" collapsed="true"/>
    <col min="23" max="23" customWidth="true" width="30.7109375" collapsed="true"/>
    <col min="24" max="24" bestFit="true" customWidth="true" width="6.28515625" collapsed="false"/>
    <col min="25" max="25" customWidth="true" width="2.85546875" collapsed="false"/>
    <col min="26" max="26" bestFit="true" customWidth="true" width="14.140625" collapsed="false"/>
    <col min="27" max="27" bestFit="true" customWidth="true" width="47.140625" collapsed="false"/>
    <col min="28" max="28" bestFit="true" customWidth="true" width="8.7109375" collapsed="false"/>
    <col min="29" max="29" bestFit="true" customWidth="true" width="13.5703125" collapsed="false"/>
    <col min="30" max="30" bestFit="true" customWidth="true" width="16.42578125" collapsed="false"/>
    <col min="31" max="31" customWidth="true" width="3.0" collapsed="false"/>
    <col min="32" max="32" bestFit="true" customWidth="true" width="18.85546875" collapsed="false"/>
    <col min="33" max="33" bestFit="true" customWidth="true" width="23.7109375" collapsed="false"/>
    <col min="34" max="34" bestFit="true" customWidth="true" width="25.85546875" collapsed="false"/>
    <col min="35" max="35" bestFit="true" customWidth="true" width="28.140625" collapsed="false"/>
    <col min="36" max="36" customWidth="true" width="2.85546875" collapsed="false"/>
    <col min="37" max="37" bestFit="true" customWidth="true" width="11.85546875" collapsed="false"/>
    <col min="38" max="38" bestFit="true" customWidth="true" width="25.140625" collapsed="false"/>
    <col min="39" max="39" bestFit="true" customWidth="true" width="8.85546875" collapsed="false"/>
    <col min="40" max="40" bestFit="true" customWidth="true" width="13.42578125" collapsed="false"/>
    <col min="41" max="41" customWidth="true" width="2.85546875" collapsed="false"/>
    <col min="42" max="42" bestFit="true" customWidth="true" width="14.28515625" collapsed="false"/>
    <col min="43" max="43" bestFit="true" customWidth="true" width="55.7109375" collapsed="false"/>
    <col min="44" max="44" bestFit="true" customWidth="true" width="8.140625" collapsed="false"/>
    <col min="45" max="45" bestFit="true" customWidth="true" width="12.5703125" collapsed="false"/>
    <col min="46" max="46" customWidth="true" width="3.140625" collapsed="false"/>
    <col min="47" max="47" bestFit="true" customWidth="true" width="10.42578125" collapsed="false"/>
    <col min="48" max="48" bestFit="true" customWidth="true" width="27.7109375" collapsed="false"/>
    <col min="49" max="49" bestFit="true" customWidth="true" width="8.140625" collapsed="false"/>
    <col min="50" max="50" bestFit="true" customWidth="true" width="12.5703125" collapsed="false"/>
    <col min="51" max="51" customWidth="true" width="3.5703125" collapsed="false"/>
    <col min="52" max="52" bestFit="true" customWidth="true" width="17.28515625" collapsed="false"/>
    <col min="53" max="53" bestFit="true" customWidth="true" width="22.140625" collapsed="false"/>
    <col min="54" max="54" bestFit="true" customWidth="true" width="8.28515625" collapsed="false"/>
    <col min="55" max="55" bestFit="true" customWidth="true" width="12.7109375" collapsed="false"/>
    <col min="56" max="56" customWidth="true" width="2.85546875" collapsed="false"/>
    <col min="57" max="57" bestFit="true" customWidth="true" width="34.7109375" collapsed="false"/>
    <col min="58" max="58" bestFit="true" customWidth="true" width="39.5703125" collapsed="false"/>
    <col min="59" max="59" bestFit="true" customWidth="true" width="14.28515625" collapsed="false"/>
    <col min="60" max="60" bestFit="true" customWidth="true" width="18.5703125" collapsed="false"/>
    <col min="61" max="61" customWidth="true" width="3.0" collapsed="false"/>
    <col min="62" max="62" bestFit="true" customWidth="true" width="16.7109375" collapsed="false"/>
    <col min="63" max="63" bestFit="true" customWidth="true" width="20.7109375" collapsed="false"/>
    <col min="64" max="64" bestFit="true" customWidth="true" width="9.85546875" collapsed="false"/>
    <col min="65" max="65" bestFit="true" customWidth="true" width="14.42578125" collapsed="false"/>
    <col min="66" max="66" customWidth="true" width="3.0" collapsed="false"/>
    <col min="67" max="67" bestFit="true" customWidth="true" width="14.42578125" collapsed="false"/>
    <col min="68" max="68" bestFit="true" customWidth="true" width="21.7109375" collapsed="false"/>
    <col min="69" max="69" bestFit="true" customWidth="true" width="12.28515625" collapsed="false"/>
    <col min="70" max="70" bestFit="true" customWidth="true" width="29.28515625" collapsed="false"/>
    <col min="71" max="71" customWidth="true" width="3.7109375" collapsed="false"/>
    <col min="72" max="72" bestFit="true" customWidth="true" width="20.28515625" collapsed="false"/>
    <col min="73" max="73" bestFit="true" customWidth="true" width="25.0" collapsed="false"/>
    <col min="74" max="74" bestFit="true" customWidth="true" width="12.42578125" collapsed="false"/>
    <col min="75" max="75" bestFit="true" customWidth="true" width="43.85546875" collapsed="false"/>
    <col min="76" max="76" customWidth="true" width="2.85546875" collapsed="false"/>
    <col min="77" max="77" bestFit="true" customWidth="true" width="19.28515625" collapsed="false"/>
    <col min="78" max="78" bestFit="true" customWidth="true" width="26.42578125" collapsed="false"/>
    <col min="79" max="79" bestFit="true" customWidth="true" width="12.0" collapsed="false"/>
    <col min="80" max="80" bestFit="true" customWidth="true" width="44.7109375" collapsed="false"/>
    <col min="81" max="81" bestFit="true" customWidth="true" width="11.28515625" collapsed="false"/>
    <col min="82" max="82" bestFit="true" customWidth="true" width="25.0" collapsed="false"/>
    <col min="83" max="83" bestFit="true" customWidth="true" width="24.42578125" collapsed="false"/>
  </cols>
  <sheetData>
    <row r="1" spans="1:83" ht="15.75" thickBot="1">
      <c r="A1" s="80" t="s">
        <v>59</v>
      </c>
      <c r="B1" s="26"/>
      <c r="C1" s="83" t="s">
        <v>60</v>
      </c>
      <c r="D1" s="27"/>
      <c r="E1" s="84" t="s">
        <v>373</v>
      </c>
      <c r="F1" s="31" t="s">
        <v>32</v>
      </c>
      <c r="G1" s="31" t="s">
        <v>56</v>
      </c>
      <c r="H1" s="31" t="s">
        <v>33</v>
      </c>
      <c r="I1" s="31" t="s">
        <v>34</v>
      </c>
      <c r="J1" s="31" t="s">
        <v>433</v>
      </c>
      <c r="K1" s="31" t="s">
        <v>434</v>
      </c>
      <c r="L1" s="32" t="s">
        <v>435</v>
      </c>
      <c r="N1" s="87" t="s">
        <v>57</v>
      </c>
      <c r="O1" s="9"/>
      <c r="P1" s="10" t="s">
        <v>58</v>
      </c>
      <c r="Q1" s="12"/>
      <c r="R1" s="88" t="s">
        <v>441</v>
      </c>
      <c r="S1" s="11" t="b">
        <f>$X$2="#43#"</f>
        <v>1</v>
      </c>
      <c r="T1" s="88" t="s">
        <v>442</v>
      </c>
      <c r="U1" s="11" t="b">
        <f>$X$3="#44#"</f>
        <v>0</v>
      </c>
      <c r="V1" s="88" t="s">
        <v>443</v>
      </c>
      <c r="W1" s="11" t="b">
        <f>$X$4="#45#"</f>
        <v>0</v>
      </c>
      <c r="X1" s="21" t="s">
        <v>83</v>
      </c>
      <c r="Z1" s="15" t="s">
        <v>106</v>
      </c>
      <c r="AA1" s="15" t="s">
        <v>107</v>
      </c>
      <c r="AB1" s="15" t="s">
        <v>109</v>
      </c>
      <c r="AC1" s="15" t="s">
        <v>108</v>
      </c>
      <c r="AD1" s="15" t="s">
        <v>110</v>
      </c>
      <c r="AF1" s="15" t="s">
        <v>117</v>
      </c>
      <c r="AG1" s="15" t="s">
        <v>118</v>
      </c>
      <c r="AH1" s="15" t="s">
        <v>119</v>
      </c>
      <c r="AI1" s="15" t="s">
        <v>120</v>
      </c>
      <c r="AK1" s="15" t="s">
        <v>334</v>
      </c>
      <c r="AL1" s="15" t="s">
        <v>335</v>
      </c>
      <c r="AM1" s="15" t="s">
        <v>336</v>
      </c>
      <c r="AN1" s="15" t="s">
        <v>337</v>
      </c>
      <c r="AP1" s="15" t="s">
        <v>340</v>
      </c>
      <c r="AQ1" s="15" t="s">
        <v>341</v>
      </c>
      <c r="AR1" s="15" t="s">
        <v>338</v>
      </c>
      <c r="AS1" s="15" t="s">
        <v>339</v>
      </c>
      <c r="AU1" s="15" t="s">
        <v>343</v>
      </c>
      <c r="AV1" s="15" t="s">
        <v>344</v>
      </c>
      <c r="AW1" s="15" t="s">
        <v>345</v>
      </c>
      <c r="AX1" s="15" t="s">
        <v>346</v>
      </c>
      <c r="AZ1" s="15" t="s">
        <v>350</v>
      </c>
      <c r="BA1" s="15" t="s">
        <v>351</v>
      </c>
      <c r="BB1" s="15" t="s">
        <v>352</v>
      </c>
      <c r="BC1" s="15" t="s">
        <v>353</v>
      </c>
      <c r="BE1" s="15" t="s">
        <v>355</v>
      </c>
      <c r="BF1" s="15" t="s">
        <v>356</v>
      </c>
      <c r="BG1" s="15" t="s">
        <v>779</v>
      </c>
      <c r="BH1" s="15" t="s">
        <v>780</v>
      </c>
      <c r="BJ1" s="15" t="s">
        <v>361</v>
      </c>
      <c r="BK1" s="15" t="s">
        <v>362</v>
      </c>
      <c r="BL1" s="15" t="s">
        <v>363</v>
      </c>
      <c r="BM1" s="15" t="s">
        <v>364</v>
      </c>
      <c r="BO1" s="15" t="s">
        <v>413</v>
      </c>
      <c r="BP1" s="15" t="s">
        <v>362</v>
      </c>
      <c r="BQ1" s="15" t="s">
        <v>414</v>
      </c>
      <c r="BR1" s="15" t="s">
        <v>415</v>
      </c>
      <c r="BT1" s="44" t="s">
        <v>547</v>
      </c>
      <c r="BU1" s="44" t="s">
        <v>546</v>
      </c>
      <c r="BV1" s="15" t="s">
        <v>549</v>
      </c>
      <c r="BW1" s="15" t="s">
        <v>548</v>
      </c>
      <c r="BY1" s="44" t="s">
        <v>799</v>
      </c>
      <c r="BZ1" s="44" t="s">
        <v>800</v>
      </c>
      <c r="CB1" s="74" t="s">
        <v>839</v>
      </c>
      <c r="CC1" s="75" t="s">
        <v>840</v>
      </c>
    </row>
    <row r="2" spans="1:83">
      <c r="A2" s="81" t="s">
        <v>41</v>
      </c>
      <c r="B2" s="13" t="s">
        <v>1031</v>
      </c>
      <c r="C2" s="1" t="s">
        <v>419</v>
      </c>
      <c r="D2" s="14" t="n">
        <v>43.0</v>
      </c>
      <c r="E2" s="1" t="s">
        <v>0</v>
      </c>
      <c r="F2" s="7" t="n">
        <v>1.0</v>
      </c>
      <c r="G2" s="7" t="s">
        <v>444</v>
      </c>
      <c r="H2" s="7" t="s">
        <v>444</v>
      </c>
      <c r="I2" s="7" t="s">
        <v>444</v>
      </c>
      <c r="J2" s="7" t="s">
        <v>1053</v>
      </c>
      <c r="K2" s="7" t="n">
        <v>1.0</v>
      </c>
      <c r="L2" s="2" t="n">
        <v>0.0</v>
      </c>
      <c r="N2" s="29" t="s">
        <v>416</v>
      </c>
      <c r="O2" s="30" t="str">
        <f>IF($B$11="Cozy","05",IF($B$11="HKL","04",IF($B$11="LuxanGmbH","03",IF($B$11="FENIX","02",IF($B$11="LuxanEwaKrawczyk","01","00")))))</f>
        <v>03</v>
      </c>
      <c r="P2" s="40" t="s">
        <v>65</v>
      </c>
      <c r="Q2" s="39" t="str">
        <f><![CDATA["EO/"&$B$10&"/"&D4&"/"&$B$6&"-"&$D$7]]></f>
        <v>EO/40/2/test kk autoimport TIM - nie produkować-&lt;NULL&gt;</v>
      </c>
      <c r="R2" s="89" t="s">
        <v>85</v>
      </c>
      <c r="S2" s="17" t="str">
        <f>IF($X$2="#43#",IF(MID($F$9,6,1)="W","D",MID($F$9,6,1))&amp;"-"&amp;MID($F$9,7,2)&amp;"mm","-")</f>
        <v>P-20mm</v>
      </c>
      <c r="T2" s="89" t="s">
        <v>85</v>
      </c>
      <c r="U2" s="17" t="str">
        <f>IF($X$3="#44#",IF(MID($F$9,6,1)="W","D",MID($F$9,6,1))&amp;"-"&amp;MID($F$9,7,2)&amp;"mm","-")</f>
        <v>-</v>
      </c>
      <c r="V2" s="89" t="s">
        <v>85</v>
      </c>
      <c r="W2" s="17" t="str">
        <f>IF($X$4="#45#",IF(MID($F$9,6,1)="W","D",MID($F$9,6,1))&amp;"-"&amp;MID($F$9,7,2)&amp;"mm","-")</f>
        <v>-</v>
      </c>
      <c r="X2" s="22" t="str">
        <f>IF(VLOOKUP($F$3,$Z:$AB,3,FALSE)="#43#","#43#","-")</f>
        <v>#43#</v>
      </c>
      <c r="Z2" s="77" t="s">
        <v>270</v>
      </c>
      <c r="AA2" s="16" t="s">
        <v>204</v>
      </c>
      <c r="AB2" s="16" t="s">
        <v>113</v>
      </c>
      <c r="AC2" s="16" t="s">
        <v>112</v>
      </c>
      <c r="AD2" s="16" t="s">
        <v>84</v>
      </c>
      <c r="AF2">
        <v>20</v>
      </c>
      <c r="AG2" s="19" t="s">
        <v>153</v>
      </c>
      <c r="AH2" s="71" t="s">
        <v>927</v>
      </c>
      <c r="AI2" s="72" t="s">
        <v>900</v>
      </c>
      <c r="AK2" s="16" t="s">
        <v>277</v>
      </c>
      <c r="AL2" s="16" t="s">
        <v>348</v>
      </c>
      <c r="AM2" s="16" t="s">
        <v>349</v>
      </c>
      <c r="AN2" s="16"/>
      <c r="AP2" s="16" t="s">
        <v>277</v>
      </c>
      <c r="AQ2" s="16" t="s">
        <v>348</v>
      </c>
      <c r="AR2" s="16" t="s">
        <v>342</v>
      </c>
      <c r="AS2" s="16"/>
      <c r="AU2" s="16" t="s">
        <v>277</v>
      </c>
      <c r="AV2" s="16" t="s">
        <v>348</v>
      </c>
      <c r="AW2" s="16" t="s">
        <v>347</v>
      </c>
      <c r="AX2" s="16"/>
      <c r="AZ2" s="16" t="s">
        <v>277</v>
      </c>
      <c r="BA2" s="16" t="s">
        <v>348</v>
      </c>
      <c r="BB2" s="16" t="s">
        <v>354</v>
      </c>
      <c r="BC2" s="16"/>
      <c r="BE2" s="16" t="s">
        <v>36</v>
      </c>
      <c r="BF2" s="16" t="s">
        <v>291</v>
      </c>
      <c r="BG2" s="16" t="s">
        <v>36</v>
      </c>
      <c r="BH2" s="16"/>
      <c r="BJ2" s="16" t="s">
        <v>277</v>
      </c>
      <c r="BK2" s="16" t="s">
        <v>126</v>
      </c>
      <c r="BL2" s="16" t="s">
        <v>84</v>
      </c>
      <c r="BM2" s="16"/>
      <c r="BO2" s="28" t="s">
        <v>412</v>
      </c>
      <c r="BP2" s="28" t="s">
        <v>380</v>
      </c>
      <c r="BQ2" t="s">
        <v>554</v>
      </c>
      <c r="BT2" s="45" t="s">
        <v>537</v>
      </c>
      <c r="BU2" s="46" t="s">
        <v>153</v>
      </c>
      <c r="BV2" t="s">
        <v>314</v>
      </c>
      <c r="BY2" s="52" t="s">
        <v>781</v>
      </c>
      <c r="BZ2" s="53" t="s">
        <v>782</v>
      </c>
      <c r="CA2" s="61"/>
      <c r="CB2" s="66" t="s">
        <v>844</v>
      </c>
      <c r="CC2" s="47">
        <v>303020</v>
      </c>
      <c r="CD2" s="64">
        <v>9016</v>
      </c>
      <c r="CE2" s="19" t="s">
        <v>153</v>
      </c>
    </row>
    <row r="3" spans="1:83">
      <c r="A3" s="1" t="s">
        <v>42</v>
      </c>
      <c r="B3" s="2" t="s">
        <v>1032</v>
      </c>
      <c r="C3" s="1" t="s">
        <v>44</v>
      </c>
      <c r="D3" s="14" t="s">
        <v>444</v>
      </c>
      <c r="E3" s="1" t="s">
        <v>1</v>
      </c>
      <c r="F3" s="7" t="s">
        <v>260</v>
      </c>
      <c r="G3" s="7" t="s">
        <v>1088</v>
      </c>
      <c r="H3" s="7" t="s">
        <v>444</v>
      </c>
      <c r="I3" s="7" t="s">
        <v>444</v>
      </c>
      <c r="J3" s="7" t="s">
        <v>1063</v>
      </c>
      <c r="K3" s="7" t="n">
        <v>1.0</v>
      </c>
      <c r="L3" s="2" t="n">
        <v>1.0</v>
      </c>
      <c r="N3" s="29" t="s">
        <v>124</v>
      </c>
      <c r="O3" s="30" t="str">
        <f>B11</f>
        <v>LUXANGMBH</v>
      </c>
      <c r="P3" s="1" t="s">
        <v>66</v>
      </c>
      <c r="Q3" s="14" t="str">
        <f>$B$15</f>
        <v>TEST_LuxanDE</v>
      </c>
      <c r="R3" s="89" t="s">
        <v>86</v>
      </c>
      <c r="S3" s="17" t="str">
        <f>IF($X$2="#43#",VLOOKUP($F$3,$Z:$AC,4,FALSE),"-")</f>
        <v>VS</v>
      </c>
      <c r="T3" s="89" t="s">
        <v>86</v>
      </c>
      <c r="U3" s="17" t="str">
        <f>IF($X$3="#44#",VLOOKUP($F$3,$Z:$AC,4,FALSE),"-")</f>
        <v>-</v>
      </c>
      <c r="V3" s="89" t="s">
        <v>86</v>
      </c>
      <c r="W3" s="17" t="str">
        <f>IF($X$4="#45#",VLOOKUP($F$3,$Z:$AC,4,FALSE),"-")</f>
        <v>-</v>
      </c>
      <c r="X3" s="23" t="str">
        <f>IF(VLOOKUP($F$3,$Z:$AB,3,FALSE)="#44#","#44#","-")</f>
        <v>-</v>
      </c>
      <c r="Z3" s="77" t="s">
        <v>132</v>
      </c>
      <c r="AA3" s="16" t="s">
        <v>255</v>
      </c>
      <c r="AB3" s="16" t="s">
        <v>115</v>
      </c>
      <c r="AC3" s="16" t="s">
        <v>114</v>
      </c>
      <c r="AD3" s="16" t="s">
        <v>84</v>
      </c>
      <c r="AF3">
        <v>2</v>
      </c>
      <c r="AG3" s="19" t="s">
        <v>187</v>
      </c>
      <c r="AH3" s="71" t="s">
        <v>928</v>
      </c>
      <c r="AI3" s="72" t="s">
        <v>901</v>
      </c>
      <c r="AK3" s="16" t="s">
        <v>444</v>
      </c>
      <c r="AL3" s="16" t="s">
        <v>348</v>
      </c>
      <c r="AM3" s="16" t="s">
        <v>349</v>
      </c>
      <c r="AN3" s="16"/>
      <c r="AP3" s="16" t="s">
        <v>444</v>
      </c>
      <c r="AQ3" s="16" t="s">
        <v>348</v>
      </c>
      <c r="AR3" s="16" t="s">
        <v>342</v>
      </c>
      <c r="AS3" s="16"/>
      <c r="AU3" s="16" t="s">
        <v>444</v>
      </c>
      <c r="AV3" s="16" t="s">
        <v>348</v>
      </c>
      <c r="AW3" s="16" t="s">
        <v>347</v>
      </c>
      <c r="AX3" s="16"/>
      <c r="AZ3" s="16" t="s">
        <v>444</v>
      </c>
      <c r="BA3" s="16" t="s">
        <v>348</v>
      </c>
      <c r="BB3" s="16" t="s">
        <v>354</v>
      </c>
      <c r="BC3" s="16"/>
      <c r="BE3" s="16" t="s">
        <v>292</v>
      </c>
      <c r="BF3" s="16" t="s">
        <v>293</v>
      </c>
      <c r="BG3" s="16" t="s">
        <v>292</v>
      </c>
      <c r="BH3" s="16"/>
      <c r="BJ3" s="16" t="s">
        <v>444</v>
      </c>
      <c r="BK3" s="16" t="s">
        <v>126</v>
      </c>
      <c r="BL3" s="16" t="s">
        <v>84</v>
      </c>
      <c r="BM3" s="16"/>
      <c r="BO3" s="28" t="s">
        <v>405</v>
      </c>
      <c r="BP3" s="28" t="s">
        <v>381</v>
      </c>
      <c r="BQ3" t="s">
        <v>554</v>
      </c>
      <c r="BT3" s="45" t="s">
        <v>538</v>
      </c>
      <c r="BU3" s="46" t="s">
        <v>154</v>
      </c>
      <c r="BV3" t="s">
        <v>314</v>
      </c>
      <c r="BY3" s="54" t="s">
        <v>783</v>
      </c>
      <c r="BZ3" s="46" t="s">
        <v>784</v>
      </c>
      <c r="CB3" s="66" t="s">
        <v>845</v>
      </c>
      <c r="CC3" s="47">
        <v>303003</v>
      </c>
      <c r="CD3" s="64">
        <v>7010</v>
      </c>
      <c r="CE3" s="19" t="s">
        <v>187</v>
      </c>
    </row>
    <row r="4" spans="1:83" ht="15.75" thickBot="1">
      <c r="A4" s="1" t="s">
        <v>43</v>
      </c>
      <c r="B4" s="2" t="s">
        <v>1033</v>
      </c>
      <c r="C4" s="1" t="s">
        <v>420</v>
      </c>
      <c r="D4" s="14" t="n">
        <v>2.0</v>
      </c>
      <c r="E4" s="1" t="s">
        <v>135</v>
      </c>
      <c r="F4" s="7" t="s">
        <v>444</v>
      </c>
      <c r="G4" s="7" t="s">
        <v>444</v>
      </c>
      <c r="H4" s="7" t="s">
        <v>444</v>
      </c>
      <c r="I4" s="7" t="s">
        <v>444</v>
      </c>
      <c r="J4" s="7" t="s">
        <v>1061</v>
      </c>
      <c r="K4" s="7" t="n">
        <v>0.0</v>
      </c>
      <c r="L4" s="2" t="n">
        <v>1.0</v>
      </c>
      <c r="N4" s="29" t="s">
        <v>417</v>
      </c>
      <c r="O4" s="30" t="str">
        <f>B15</f>
        <v>TEST_LuxanDE</v>
      </c>
      <c r="P4" s="1" t="s">
        <v>67</v>
      </c>
      <c r="Q4" s="14" t="s">
        <v>84</v>
      </c>
      <c r="R4" s="89" t="s">
        <v>87</v>
      </c>
      <c r="S4" s="17" t="str">
        <f>IF($X$2="#43#",VLOOKUP($F$3,$Z:$AD,5,FALSE),"-")</f>
        <v>2 M</v>
      </c>
      <c r="T4" s="89" t="s">
        <v>87</v>
      </c>
      <c r="U4" s="17" t="str">
        <f>IF($X$3="#44#",VLOOKUP($F$3,$Z:$AD,5,FALSE),"-")</f>
        <v>-</v>
      </c>
      <c r="V4" s="89" t="s">
        <v>87</v>
      </c>
      <c r="W4" s="17" t="str">
        <f>IF($X$4="#45#",VLOOKUP($F$3,$Z:$AD,5,FALSE),"-")</f>
        <v>-</v>
      </c>
      <c r="X4" s="24" t="str">
        <f>IF(VLOOKUP($F$3,$Z:$AB,3,FALSE)="#45#","#45#","-")</f>
        <v>-</v>
      </c>
      <c r="Z4" s="77" t="s">
        <v>134</v>
      </c>
      <c r="AA4" s="16" t="s">
        <v>206</v>
      </c>
      <c r="AB4" s="16" t="s">
        <v>115</v>
      </c>
      <c r="AC4" s="16" t="s">
        <v>114</v>
      </c>
      <c r="AD4" s="16" t="s">
        <v>84</v>
      </c>
      <c r="AF4" s="70" t="s">
        <v>841</v>
      </c>
      <c r="AG4" s="19" t="s">
        <v>187</v>
      </c>
      <c r="AH4" s="71" t="s">
        <v>928</v>
      </c>
      <c r="AI4" s="72" t="s">
        <v>901</v>
      </c>
      <c r="AK4" s="42" t="s">
        <v>445</v>
      </c>
      <c r="AL4" s="42" t="s">
        <v>446</v>
      </c>
      <c r="AM4" s="42" t="s">
        <v>445</v>
      </c>
      <c r="AN4" s="16"/>
      <c r="AP4" s="43" t="s">
        <v>453</v>
      </c>
      <c r="AQ4" s="43" t="s">
        <v>454</v>
      </c>
      <c r="AR4" s="43" t="s">
        <v>453</v>
      </c>
      <c r="AS4" s="16"/>
      <c r="AU4" s="42" t="s">
        <v>480</v>
      </c>
      <c r="AV4" s="42" t="s">
        <v>481</v>
      </c>
      <c r="AW4" s="42" t="s">
        <v>480</v>
      </c>
      <c r="AX4" s="16"/>
      <c r="AZ4" s="42" t="s">
        <v>500</v>
      </c>
      <c r="BA4" s="42" t="s">
        <v>501</v>
      </c>
      <c r="BB4" s="42" t="s">
        <v>500</v>
      </c>
      <c r="BC4" s="16"/>
      <c r="BE4" s="16" t="s">
        <v>246</v>
      </c>
      <c r="BF4" s="16" t="s">
        <v>247</v>
      </c>
      <c r="BG4" s="16" t="s">
        <v>292</v>
      </c>
      <c r="BH4" s="16"/>
      <c r="BJ4" s="16" t="s">
        <v>127</v>
      </c>
      <c r="BK4" s="16" t="s">
        <v>128</v>
      </c>
      <c r="BL4" s="16" t="s">
        <v>84</v>
      </c>
      <c r="BM4" s="16"/>
      <c r="BO4" s="28" t="s">
        <v>411</v>
      </c>
      <c r="BP4" s="28" t="s">
        <v>382</v>
      </c>
      <c r="BQ4" s="47" t="s">
        <v>571</v>
      </c>
      <c r="BR4" s="47" t="s">
        <v>572</v>
      </c>
      <c r="BT4" s="45" t="s">
        <v>539</v>
      </c>
      <c r="BU4" s="46" t="s">
        <v>540</v>
      </c>
      <c r="BV4" t="s">
        <v>795</v>
      </c>
      <c r="BY4" s="55" t="s">
        <v>785</v>
      </c>
      <c r="BZ4" s="56" t="s">
        <v>786</v>
      </c>
      <c r="CA4" s="62"/>
      <c r="CB4" s="66" t="s">
        <v>862</v>
      </c>
      <c r="CC4" s="47">
        <v>303003</v>
      </c>
      <c r="CD4" s="64">
        <v>7010</v>
      </c>
      <c r="CE4" s="19" t="s">
        <v>187</v>
      </c>
    </row>
    <row r="5" spans="1:83">
      <c r="A5" s="1" t="s">
        <v>44</v>
      </c>
      <c r="B5" s="2" t="s">
        <v>444</v>
      </c>
      <c r="C5" s="1" t="s">
        <v>421</v>
      </c>
      <c r="D5" s="14" t="n">
        <v>2874.0</v>
      </c>
      <c r="E5" s="1" t="s">
        <v>136</v>
      </c>
      <c r="F5" s="7" t="s">
        <v>444</v>
      </c>
      <c r="G5" s="7" t="s">
        <v>444</v>
      </c>
      <c r="H5" s="7" t="s">
        <v>444</v>
      </c>
      <c r="I5" s="7" t="s">
        <v>444</v>
      </c>
      <c r="J5" s="7" t="s">
        <v>1073</v>
      </c>
      <c r="K5" s="7" t="n">
        <v>0.0</v>
      </c>
      <c r="L5" s="2" t="n">
        <v>1.0</v>
      </c>
      <c r="N5" s="1" t="s">
        <v>63</v>
      </c>
      <c r="O5" s="2" t="str">
        <f>B15&amp;"-"&amp;B10</f>
        <v>TEST_LuxanDE-40</v>
      </c>
      <c r="P5" s="1" t="s">
        <v>68</v>
      </c>
      <c r="Q5" s="14" t="s">
        <v>84</v>
      </c>
      <c r="R5" s="89" t="s">
        <v>88</v>
      </c>
      <c r="S5" s="17" t="str">
        <f>IF($X$2="#43#",IF(OR($F$9="&lt;NULL&gt;",$F$9="&lt;NONE&gt;"),"-",MID($F$9,1,4)),"-")</f>
        <v>3003</v>
      </c>
      <c r="T5" s="89" t="s">
        <v>88</v>
      </c>
      <c r="U5" s="17" t="str">
        <f>IF($X$3="#44#",IF(OR($F$9="&lt;NULL&gt;",$F$9="&lt;NONE&gt;"),"-",MID($F$9,1,4)),"-")</f>
        <v>-</v>
      </c>
      <c r="V5" s="1" t="s">
        <v>103</v>
      </c>
      <c r="W5" s="17" t="str">
        <f>IF($X$4="#45#",$F$4,"-")</f>
        <v>-</v>
      </c>
      <c r="X5" s="20"/>
      <c r="Z5" s="77" t="s">
        <v>308</v>
      </c>
      <c r="AA5" s="16" t="s">
        <v>238</v>
      </c>
      <c r="AB5" s="16" t="s">
        <v>116</v>
      </c>
      <c r="AC5" s="16" t="s">
        <v>62</v>
      </c>
      <c r="AD5" s="16" t="s">
        <v>84</v>
      </c>
      <c r="AF5">
        <v>5</v>
      </c>
      <c r="AG5" s="19" t="s">
        <v>188</v>
      </c>
      <c r="AH5" s="71" t="s">
        <v>933</v>
      </c>
      <c r="AI5" s="72" t="s">
        <v>902</v>
      </c>
      <c r="AK5" s="42" t="s">
        <v>447</v>
      </c>
      <c r="AL5" s="42" t="s">
        <v>448</v>
      </c>
      <c r="AM5" s="42" t="s">
        <v>447</v>
      </c>
      <c r="AN5" s="16"/>
      <c r="AP5" s="43" t="s">
        <v>455</v>
      </c>
      <c r="AQ5" s="43" t="s">
        <v>456</v>
      </c>
      <c r="AR5" s="43" t="s">
        <v>455</v>
      </c>
      <c r="AS5" s="16"/>
      <c r="AU5" s="42" t="s">
        <v>482</v>
      </c>
      <c r="AV5" s="42" t="s">
        <v>483</v>
      </c>
      <c r="AW5" s="42" t="s">
        <v>482</v>
      </c>
      <c r="AX5" s="16"/>
      <c r="AZ5" s="42" t="s">
        <v>502</v>
      </c>
      <c r="BA5" s="42" t="s">
        <v>503</v>
      </c>
      <c r="BB5" s="42" t="s">
        <v>502</v>
      </c>
      <c r="BC5" s="16"/>
      <c r="BE5" s="16" t="s">
        <v>314</v>
      </c>
      <c r="BF5" s="16" t="s">
        <v>248</v>
      </c>
      <c r="BG5" s="16" t="s">
        <v>36</v>
      </c>
      <c r="BH5" s="16"/>
      <c r="BJ5" s="16" t="s">
        <v>151</v>
      </c>
      <c r="BK5" s="16" t="s">
        <v>138</v>
      </c>
      <c r="BL5" s="16" t="s">
        <v>1017</v>
      </c>
      <c r="BM5" s="16"/>
      <c r="BO5" s="28" t="s">
        <v>397</v>
      </c>
      <c r="BP5" s="28" t="s">
        <v>383</v>
      </c>
      <c r="BT5" s="45" t="s">
        <v>541</v>
      </c>
      <c r="BU5" s="46" t="s">
        <v>542</v>
      </c>
      <c r="BV5" t="s">
        <v>795</v>
      </c>
      <c r="BY5" s="52" t="s">
        <v>554</v>
      </c>
      <c r="BZ5" s="53" t="s">
        <v>787</v>
      </c>
      <c r="CA5" s="63" t="s">
        <v>803</v>
      </c>
      <c r="CB5" s="65" t="s">
        <v>846</v>
      </c>
      <c r="CC5" s="73">
        <v>303026</v>
      </c>
      <c r="CD5" s="64">
        <v>8022</v>
      </c>
      <c r="CE5" s="19" t="s">
        <v>188</v>
      </c>
    </row>
    <row r="6" spans="1:83" ht="15.75" thickBot="1">
      <c r="A6" s="1" t="s">
        <v>45</v>
      </c>
      <c r="B6" s="2" t="s">
        <v>1034</v>
      </c>
      <c r="C6" s="1" t="s">
        <v>422</v>
      </c>
      <c r="D6" s="14" t="s">
        <v>1005</v>
      </c>
      <c r="E6" s="1" t="s">
        <v>137</v>
      </c>
      <c r="F6" s="7" t="s">
        <v>444</v>
      </c>
      <c r="G6" s="7" t="s">
        <v>444</v>
      </c>
      <c r="H6" s="7" t="s">
        <v>444</v>
      </c>
      <c r="I6" s="7" t="s">
        <v>444</v>
      </c>
      <c r="J6" s="7" t="s">
        <v>1074</v>
      </c>
      <c r="K6" s="7" t="n">
        <v>0.0</v>
      </c>
      <c r="L6" s="2" t="n">
        <v>1.0</v>
      </c>
      <c r="N6" s="82" t="s">
        <v>64</v>
      </c>
      <c r="O6" s="6" t="str">
        <f>$B$6</f>
        <v>test kk autoimport TIM - nie produkować</v>
      </c>
      <c r="P6" s="1" t="s">
        <v>69</v>
      </c>
      <c r="Q6" s="14" t="str">
        <f>B11</f>
        <v>LUXANGMBH</v>
      </c>
      <c r="R6" s="89" t="s">
        <v>89</v>
      </c>
      <c r="S6" s="17" t="str">
        <f>IF($X$2="#43#",IF(OR($F$9="&lt;NULL&gt;",$F$9="&lt;NONE&gt;"),"-",$H$9),"-")</f>
        <v>20401-P20</v>
      </c>
      <c r="T6" s="89" t="s">
        <v>89</v>
      </c>
      <c r="U6" s="17" t="str">
        <f>IF($X$3="#44#",IF(OR($F$9="&lt;NULL&gt;",$F$9="&lt;NONE&gt;"),"-",$H$9),"-")</f>
        <v>-</v>
      </c>
      <c r="V6" s="1" t="s">
        <v>104</v>
      </c>
      <c r="W6" s="17" t="str">
        <f>IF($X$4="#45#",$F$5,"-")</f>
        <v>-</v>
      </c>
      <c r="X6" s="20"/>
      <c r="Z6" s="7" t="s">
        <v>444</v>
      </c>
      <c r="AA6" s="16" t="s">
        <v>84</v>
      </c>
      <c r="AB6" s="16" t="s">
        <v>84</v>
      </c>
      <c r="AC6" s="16" t="s">
        <v>84</v>
      </c>
      <c r="AD6" s="16" t="s">
        <v>84</v>
      </c>
      <c r="AF6" s="70" t="s">
        <v>842</v>
      </c>
      <c r="AG6" s="19" t="s">
        <v>188</v>
      </c>
      <c r="AH6" s="71" t="s">
        <v>933</v>
      </c>
      <c r="AI6" s="72" t="s">
        <v>902</v>
      </c>
      <c r="AK6" s="42" t="s">
        <v>449</v>
      </c>
      <c r="AL6" s="42" t="s">
        <v>450</v>
      </c>
      <c r="AM6" s="42" t="s">
        <v>449</v>
      </c>
      <c r="AN6" s="16"/>
      <c r="AP6" s="43" t="s">
        <v>457</v>
      </c>
      <c r="AQ6" s="43" t="s">
        <v>458</v>
      </c>
      <c r="AR6" s="43" t="s">
        <v>457</v>
      </c>
      <c r="AS6" s="16"/>
      <c r="AU6" s="42" t="s">
        <v>484</v>
      </c>
      <c r="AV6" s="42" t="s">
        <v>485</v>
      </c>
      <c r="AW6" s="42" t="s">
        <v>484</v>
      </c>
      <c r="AX6" s="16"/>
      <c r="AZ6" s="42" t="s">
        <v>504</v>
      </c>
      <c r="BA6" s="42" t="s">
        <v>505</v>
      </c>
      <c r="BB6" s="42" t="s">
        <v>504</v>
      </c>
      <c r="BE6" s="16" t="s">
        <v>444</v>
      </c>
      <c r="BF6" s="16" t="s">
        <v>84</v>
      </c>
      <c r="BG6" s="16" t="s">
        <v>84</v>
      </c>
      <c r="BH6" s="16"/>
      <c r="BJ6" s="16" t="s">
        <v>139</v>
      </c>
      <c r="BK6" s="16" t="s">
        <v>129</v>
      </c>
      <c r="BL6" s="16" t="s">
        <v>1018</v>
      </c>
      <c r="BM6" s="16"/>
      <c r="BO6" s="28" t="s">
        <v>398</v>
      </c>
      <c r="BP6" s="28" t="s">
        <v>384</v>
      </c>
      <c r="BQ6" s="47" t="s">
        <v>557</v>
      </c>
      <c r="BT6" s="45" t="s">
        <v>543</v>
      </c>
      <c r="BU6" s="46" t="s">
        <v>183</v>
      </c>
      <c r="BV6" t="s">
        <v>795</v>
      </c>
      <c r="BY6" s="54" t="s">
        <v>302</v>
      </c>
      <c r="BZ6" s="46" t="s">
        <v>787</v>
      </c>
      <c r="CA6" s="51" t="s">
        <v>803</v>
      </c>
      <c r="CB6" s="66" t="s">
        <v>863</v>
      </c>
      <c r="CC6" s="67">
        <v>303026</v>
      </c>
      <c r="CD6" s="64">
        <v>8022</v>
      </c>
      <c r="CE6" s="19" t="s">
        <v>188</v>
      </c>
    </row>
    <row r="7" spans="1:83">
      <c r="A7" s="1" t="s">
        <v>46</v>
      </c>
      <c r="B7" s="2" t="s">
        <v>1035</v>
      </c>
      <c r="C7" s="1" t="s">
        <v>45</v>
      </c>
      <c r="D7" s="2" t="s">
        <v>444</v>
      </c>
      <c r="E7" s="1" t="s">
        <v>517</v>
      </c>
      <c r="F7" s="7" t="s">
        <v>444</v>
      </c>
      <c r="G7" s="7" t="s">
        <v>444</v>
      </c>
      <c r="H7" s="7" t="s">
        <v>444</v>
      </c>
      <c r="I7" s="7" t="s">
        <v>444</v>
      </c>
      <c r="J7" s="7" t="s">
        <v>1082</v>
      </c>
      <c r="K7" s="7" t="n">
        <v>0.0</v>
      </c>
      <c r="L7" s="2" t="n">
        <v>0.0</v>
      </c>
      <c r="P7" s="1" t="s">
        <v>70</v>
      </c>
      <c r="Q7" s="14"/>
      <c r="R7" s="89" t="s">
        <v>90</v>
      </c>
      <c r="S7" s="17" t="str">
        <f>IF($X$2="#43#",IF(OR($F$10="&lt;NULL&gt;",$F$10="&lt;NONE&gt;"),"-",MID($F$10,1,4)),"-")</f>
        <v>-</v>
      </c>
      <c r="T7" s="89" t="s">
        <v>90</v>
      </c>
      <c r="U7" s="17" t="str">
        <f>IF($X$3="#44#",IF(OR($F$10="&lt;NULL&gt;",$F$10="&lt;NONE&gt;"),"-",MID($F$10,1,4)),"-")</f>
        <v>-</v>
      </c>
      <c r="V7" s="1" t="s">
        <v>105</v>
      </c>
      <c r="W7" s="17" t="str">
        <f>IF($X$4="#45#",$F$6,"-")</f>
        <v>-</v>
      </c>
      <c r="X7" s="20"/>
      <c r="Z7" s="7" t="s">
        <v>277</v>
      </c>
      <c r="AA7" s="16" t="s">
        <v>84</v>
      </c>
      <c r="AB7" s="16" t="s">
        <v>84</v>
      </c>
      <c r="AC7" s="16" t="s">
        <v>84</v>
      </c>
      <c r="AD7" s="16" t="s">
        <v>84</v>
      </c>
      <c r="AF7">
        <v>9</v>
      </c>
      <c r="AG7" s="19" t="s">
        <v>189</v>
      </c>
      <c r="AH7" s="71" t="s">
        <v>931</v>
      </c>
      <c r="AI7" s="72" t="s">
        <v>891</v>
      </c>
      <c r="AK7" s="42" t="s">
        <v>451</v>
      </c>
      <c r="AL7" s="42" t="s">
        <v>452</v>
      </c>
      <c r="AM7" s="42" t="s">
        <v>451</v>
      </c>
      <c r="AN7" s="16"/>
      <c r="AP7" s="43" t="s">
        <v>459</v>
      </c>
      <c r="AQ7" s="43" t="s">
        <v>460</v>
      </c>
      <c r="AR7" s="43" t="s">
        <v>459</v>
      </c>
      <c r="AS7" s="16"/>
      <c r="AU7" s="42" t="s">
        <v>486</v>
      </c>
      <c r="AV7" s="42" t="s">
        <v>487</v>
      </c>
      <c r="AW7" s="42" t="s">
        <v>486</v>
      </c>
      <c r="AX7" s="16"/>
      <c r="BE7" s="16" t="s">
        <v>277</v>
      </c>
      <c r="BF7" s="16" t="s">
        <v>84</v>
      </c>
      <c r="BG7" s="16" t="s">
        <v>84</v>
      </c>
      <c r="BH7" s="16"/>
      <c r="BJ7" s="16" t="s">
        <v>140</v>
      </c>
      <c r="BK7" s="16" t="s">
        <v>129</v>
      </c>
      <c r="BL7" s="16" t="s">
        <v>1019</v>
      </c>
      <c r="BM7" s="16"/>
      <c r="BO7" s="28" t="s">
        <v>396</v>
      </c>
      <c r="BP7" s="28" t="s">
        <v>385</v>
      </c>
      <c r="BT7" s="45" t="s">
        <v>544</v>
      </c>
      <c r="BU7" s="46" t="s">
        <v>545</v>
      </c>
      <c r="BV7" t="s">
        <v>795</v>
      </c>
      <c r="BY7" s="54" t="s">
        <v>281</v>
      </c>
      <c r="BZ7" s="46" t="s">
        <v>787</v>
      </c>
      <c r="CA7" s="51" t="s">
        <v>803</v>
      </c>
      <c r="CB7" s="66" t="s">
        <v>847</v>
      </c>
      <c r="CC7" s="67">
        <v>303003</v>
      </c>
      <c r="CD7" s="64">
        <v>7000</v>
      </c>
      <c r="CE7" s="19" t="s">
        <v>189</v>
      </c>
    </row>
    <row r="8" spans="1:83" ht="15.75" thickBot="1">
      <c r="A8" s="1" t="s">
        <v>47</v>
      </c>
      <c r="B8" s="3" t="s">
        <v>1036</v>
      </c>
      <c r="C8" s="82" t="s">
        <v>994</v>
      </c>
      <c r="D8" s="6" t="s">
        <v>1040</v>
      </c>
      <c r="E8" s="1" t="s">
        <v>518</v>
      </c>
      <c r="F8" s="7" t="s">
        <v>444</v>
      </c>
      <c r="G8" s="7" t="s">
        <v>444</v>
      </c>
      <c r="H8" s="7" t="s">
        <v>444</v>
      </c>
      <c r="I8" s="7" t="s">
        <v>444</v>
      </c>
      <c r="J8" s="7" t="s">
        <v>1085</v>
      </c>
      <c r="K8" s="7" t="n">
        <v>0.0</v>
      </c>
      <c r="L8" s="2" t="n">
        <v>0.0</v>
      </c>
      <c r="P8" s="1" t="s">
        <v>71</v>
      </c>
      <c r="Q8" s="14"/>
      <c r="R8" s="89" t="s">
        <v>91</v>
      </c>
      <c r="S8" s="17" t="str">
        <f>IF($X$2="#43#",IF(OR($H$10="&lt;NULL&gt;",$H$10="&lt;NONE&gt;"),"-",$H$10),"-")</f>
        <v>-</v>
      </c>
      <c r="T8" s="89" t="s">
        <v>91</v>
      </c>
      <c r="U8" s="17" t="str">
        <f>IF($X$3="#44#",IF(OR($H$10="&lt;NULL&gt;",$H$10="&lt;NONE&gt;"),"-",$H$10),"-")</f>
        <v>-</v>
      </c>
      <c r="V8" s="89" t="s">
        <v>88</v>
      </c>
      <c r="W8" s="17" t="str">
        <f>IF($X$4="#45#",IF(OR($F$9="&lt;NULL&gt;",$F$9="&lt;NONE&gt;"),"-",MID($F$9,1,4)),"-")</f>
        <v>-</v>
      </c>
      <c r="X8" s="20"/>
      <c r="Z8" t="s">
        <v>84</v>
      </c>
      <c r="AA8" s="16" t="s">
        <v>84</v>
      </c>
      <c r="AB8" s="16" t="s">
        <v>84</v>
      </c>
      <c r="AC8" s="16" t="s">
        <v>84</v>
      </c>
      <c r="AD8" s="16" t="s">
        <v>84</v>
      </c>
      <c r="AF8" s="70" t="s">
        <v>843</v>
      </c>
      <c r="AG8" s="19" t="s">
        <v>189</v>
      </c>
      <c r="AH8" s="71" t="s">
        <v>931</v>
      </c>
      <c r="AI8" s="72" t="s">
        <v>891</v>
      </c>
      <c r="AP8" s="43" t="s">
        <v>461</v>
      </c>
      <c r="AQ8" s="43" t="s">
        <v>462</v>
      </c>
      <c r="AR8" s="43" t="s">
        <v>461</v>
      </c>
      <c r="AS8" s="16"/>
      <c r="AU8" s="42" t="s">
        <v>488</v>
      </c>
      <c r="AV8" s="42" t="s">
        <v>489</v>
      </c>
      <c r="AW8" s="42" t="s">
        <v>488</v>
      </c>
      <c r="AX8" s="16"/>
      <c r="BE8" s="15" t="s">
        <v>357</v>
      </c>
      <c r="BF8" s="15" t="s">
        <v>358</v>
      </c>
      <c r="BG8" s="15" t="s">
        <v>779</v>
      </c>
      <c r="BH8" s="15" t="s">
        <v>780</v>
      </c>
      <c r="BJ8" s="16" t="s">
        <v>141</v>
      </c>
      <c r="BK8" s="16" t="s">
        <v>129</v>
      </c>
      <c r="BL8" s="16" t="s">
        <v>1020</v>
      </c>
      <c r="BM8" s="16"/>
      <c r="BO8" s="28" t="s">
        <v>393</v>
      </c>
      <c r="BP8" s="28" t="s">
        <v>395</v>
      </c>
      <c r="BT8" s="16" t="s">
        <v>277</v>
      </c>
      <c r="BU8" s="46" t="s">
        <v>84</v>
      </c>
      <c r="BV8" t="s">
        <v>84</v>
      </c>
      <c r="BY8" s="54" t="s">
        <v>556</v>
      </c>
      <c r="BZ8" s="46" t="s">
        <v>788</v>
      </c>
      <c r="CA8" s="51" t="s">
        <v>804</v>
      </c>
      <c r="CB8" s="66" t="s">
        <v>864</v>
      </c>
      <c r="CC8" s="67">
        <v>303003</v>
      </c>
      <c r="CD8" s="64">
        <v>7000</v>
      </c>
      <c r="CE8" s="19" t="s">
        <v>189</v>
      </c>
    </row>
    <row r="9" spans="1:83">
      <c r="A9" s="1" t="s">
        <v>48</v>
      </c>
      <c r="B9" s="2" t="s">
        <v>1034</v>
      </c>
      <c r="E9" s="1" t="s">
        <v>2</v>
      </c>
      <c r="F9" s="7" t="s">
        <v>1007</v>
      </c>
      <c r="G9" s="7" t="s">
        <v>1008</v>
      </c>
      <c r="H9" s="7" t="s">
        <v>1009</v>
      </c>
      <c r="I9" s="7" t="s">
        <v>1008</v>
      </c>
      <c r="J9" s="7" t="s">
        <v>1060</v>
      </c>
      <c r="K9" s="7" t="n">
        <v>1.0</v>
      </c>
      <c r="L9" s="2" t="n">
        <v>1.0</v>
      </c>
      <c r="P9" s="1" t="s">
        <v>72</v>
      </c>
      <c r="Q9" s="14" t="str">
        <f>$B$2</f>
        <v>Kreuzgraben 4</v>
      </c>
      <c r="R9" s="89" t="s">
        <v>92</v>
      </c>
      <c r="S9" s="17" t="str">
        <f>IF($X$2="#43#",VLOOKUP($F$11,$AF$1:$AH$33,3,FALSE),"-")</f>
        <v>c2021-7010-silber</v>
      </c>
      <c r="T9" s="89" t="s">
        <v>92</v>
      </c>
      <c r="U9" s="17" t="str">
        <f>IF($X$3="#44#",VLOOKUP($F$11,$AF$1:$AH$33,3,FALSE),"-")</f>
        <v>-</v>
      </c>
      <c r="V9" s="89" t="s">
        <v>89</v>
      </c>
      <c r="W9" s="17" t="str">
        <f>IF($X$4="#45#",IF(OR($F$9="&lt;NULL&gt;",$F$9="&lt;NONE&gt;"),"-",$H$9),"-")</f>
        <v>-</v>
      </c>
      <c r="X9" s="20"/>
      <c r="Z9" s="16" t="s">
        <v>280</v>
      </c>
      <c r="AA9" s="16" t="s">
        <v>275</v>
      </c>
      <c r="AB9" s="16" t="s">
        <v>113</v>
      </c>
      <c r="AC9" s="47" t="s">
        <v>316</v>
      </c>
      <c r="AD9" s="47">
        <v>1</v>
      </c>
      <c r="AF9">
        <v>24</v>
      </c>
      <c r="AG9" s="19" t="s">
        <v>190</v>
      </c>
      <c r="AH9" s="71" t="s">
        <v>930</v>
      </c>
      <c r="AI9" s="72" t="s">
        <v>890</v>
      </c>
      <c r="AP9" s="43" t="s">
        <v>463</v>
      </c>
      <c r="AQ9" s="43" t="s">
        <v>464</v>
      </c>
      <c r="AR9" s="43" t="s">
        <v>463</v>
      </c>
      <c r="AS9" s="16"/>
      <c r="AU9" s="42" t="s">
        <v>490</v>
      </c>
      <c r="AV9" s="42" t="s">
        <v>491</v>
      </c>
      <c r="AW9" s="42" t="s">
        <v>490</v>
      </c>
      <c r="AX9" s="16"/>
      <c r="BE9" s="16" t="s">
        <v>36</v>
      </c>
      <c r="BF9" s="16" t="s">
        <v>193</v>
      </c>
      <c r="BG9" s="16" t="s">
        <v>36</v>
      </c>
      <c r="BH9" s="16"/>
      <c r="BJ9" s="16" t="s">
        <v>142</v>
      </c>
      <c r="BK9" s="16" t="s">
        <v>129</v>
      </c>
      <c r="BL9" s="16" t="s">
        <v>1021</v>
      </c>
      <c r="BM9" s="16"/>
      <c r="BO9" s="28" t="s">
        <v>406</v>
      </c>
      <c r="BP9" s="28" t="s">
        <v>386</v>
      </c>
      <c r="BT9" s="16" t="s">
        <v>444</v>
      </c>
      <c r="BU9" s="46" t="s">
        <v>84</v>
      </c>
      <c r="BV9" t="s">
        <v>84</v>
      </c>
      <c r="BY9" s="54" t="s">
        <v>290</v>
      </c>
      <c r="BZ9" s="46" t="s">
        <v>789</v>
      </c>
      <c r="CA9" s="51" t="s">
        <v>290</v>
      </c>
      <c r="CB9" s="66" t="s">
        <v>848</v>
      </c>
      <c r="CC9" s="67">
        <v>303024</v>
      </c>
      <c r="CD9" s="64">
        <v>7016</v>
      </c>
      <c r="CE9" s="19" t="s">
        <v>190</v>
      </c>
    </row>
    <row r="10" spans="1:83">
      <c r="A10" s="1" t="s">
        <v>49</v>
      </c>
      <c r="B10" s="2" t="n">
        <v>40.0</v>
      </c>
      <c r="E10" s="1" t="s">
        <v>3</v>
      </c>
      <c r="F10" s="7" t="s">
        <v>444</v>
      </c>
      <c r="G10" s="7" t="s">
        <v>444</v>
      </c>
      <c r="H10" s="7" t="s">
        <v>444</v>
      </c>
      <c r="I10" s="7" t="s">
        <v>444</v>
      </c>
      <c r="J10" s="7" t="s">
        <v>1055</v>
      </c>
      <c r="K10" s="7" t="n">
        <v>0.0</v>
      </c>
      <c r="L10" s="2" t="n">
        <v>1.0</v>
      </c>
      <c r="P10" s="1" t="s">
        <v>73</v>
      </c>
      <c r="Q10" s="14" t="n">
        <f>$B$16</f>
        <v>13156.0</v>
      </c>
      <c r="R10" s="90" t="s">
        <v>35</v>
      </c>
      <c r="S10" s="17" t="n">
        <f>IF($X$2="#43#",IF($F$12="&lt;NULL&gt;",MAX($F$16:$F$17)/10,$F$12/10),"-")</f>
        <v>99.9</v>
      </c>
      <c r="T10" s="90" t="s">
        <v>35</v>
      </c>
      <c r="U10" s="17" t="str">
        <f>IF($X$3="#44#",IF($F$12="&lt;NULL&gt;",MAX($F$16:$F$17)/10,$F$12/10),"-")</f>
        <v>-</v>
      </c>
      <c r="V10" s="89" t="s">
        <v>90</v>
      </c>
      <c r="W10" s="17" t="str">
        <f>IF($X$4="#45#",IF(OR($F$10="&lt;NULL&gt;",$F$10="&lt;NONE&gt;"),"-",MID($F$10,1,4)),"-")</f>
        <v>-</v>
      </c>
      <c r="X10" s="20"/>
      <c r="Z10" s="16" t="s">
        <v>281</v>
      </c>
      <c r="AA10" s="16" t="s">
        <v>276</v>
      </c>
      <c r="AB10" s="16" t="s">
        <v>113</v>
      </c>
      <c r="AC10" s="47" t="s">
        <v>316</v>
      </c>
      <c r="AD10" s="47">
        <v>2</v>
      </c>
      <c r="AF10">
        <v>26</v>
      </c>
      <c r="AG10" s="19" t="s">
        <v>191</v>
      </c>
      <c r="AH10" s="71" t="s">
        <v>929</v>
      </c>
      <c r="AI10" s="72" t="s">
        <v>889</v>
      </c>
      <c r="AP10" s="43" t="s">
        <v>465</v>
      </c>
      <c r="AQ10" s="43" t="s">
        <v>466</v>
      </c>
      <c r="AR10" s="43" t="s">
        <v>465</v>
      </c>
      <c r="AU10" s="42" t="s">
        <v>492</v>
      </c>
      <c r="AV10" s="42" t="s">
        <v>493</v>
      </c>
      <c r="AW10" s="42" t="s">
        <v>492</v>
      </c>
      <c r="AX10" s="16"/>
      <c r="BE10" s="16" t="s">
        <v>292</v>
      </c>
      <c r="BF10" s="16" t="s">
        <v>194</v>
      </c>
      <c r="BG10" s="16" t="s">
        <v>292</v>
      </c>
      <c r="BH10" s="16"/>
      <c r="BJ10" s="16" t="s">
        <v>143</v>
      </c>
      <c r="BK10" s="16" t="s">
        <v>130</v>
      </c>
      <c r="BL10" s="16" t="s">
        <v>370</v>
      </c>
      <c r="BM10" s="16"/>
      <c r="BO10" s="28" t="s">
        <v>407</v>
      </c>
      <c r="BP10" s="28" t="s">
        <v>387</v>
      </c>
      <c r="BT10" s="45" t="s">
        <v>84</v>
      </c>
      <c r="BU10" s="46" t="s">
        <v>84</v>
      </c>
      <c r="BV10" t="s">
        <v>84</v>
      </c>
      <c r="BY10" s="54" t="s">
        <v>284</v>
      </c>
      <c r="BZ10" s="46" t="s">
        <v>790</v>
      </c>
      <c r="CA10" s="51" t="s">
        <v>805</v>
      </c>
      <c r="CB10" s="66" t="s">
        <v>849</v>
      </c>
      <c r="CC10" s="67">
        <v>303026</v>
      </c>
      <c r="CD10" s="64">
        <v>4567</v>
      </c>
      <c r="CE10" s="19" t="s">
        <v>191</v>
      </c>
    </row>
    <row r="11" spans="1:83">
      <c r="A11" s="1" t="s">
        <v>50</v>
      </c>
      <c r="B11" s="2" t="s">
        <v>1037</v>
      </c>
      <c r="E11" s="1" t="s">
        <v>4</v>
      </c>
      <c r="F11" s="7" t="n">
        <v>2.0</v>
      </c>
      <c r="G11" s="7" t="s">
        <v>1058</v>
      </c>
      <c r="H11" s="7" t="s">
        <v>444</v>
      </c>
      <c r="I11" s="7" t="s">
        <v>444</v>
      </c>
      <c r="J11" s="7" t="s">
        <v>1059</v>
      </c>
      <c r="K11" s="7" t="n">
        <v>1.0</v>
      </c>
      <c r="L11" s="2" t="n">
        <v>1.0</v>
      </c>
      <c r="P11" s="1" t="s">
        <v>74</v>
      </c>
      <c r="Q11" s="14" t="str">
        <f>$B$3</f>
        <v>Berlin</v>
      </c>
      <c r="R11" s="90" t="s">
        <v>36</v>
      </c>
      <c r="S11" s="17" t="n">
        <f>IF($X$2="#43#",IF($F$13="&lt;NULL&gt;",MAX($F$18:$F$20)/10,$F$13/10),"-")</f>
        <v>99.9</v>
      </c>
      <c r="T11" s="90" t="s">
        <v>36</v>
      </c>
      <c r="U11" s="17" t="str">
        <f>IF($X$3="#44#",IF($F$13="&lt;NULL&gt;",MAX($F$18:$F$20)/10,$F$13/10),"-")</f>
        <v>-</v>
      </c>
      <c r="V11" s="89" t="s">
        <v>91</v>
      </c>
      <c r="W11" s="17" t="str">
        <f>IF($X$4="#45#",IF(OR($H$10="&lt;NULL&gt;",$H$10="&lt;NONE&gt;"),"-",$H$10),"-")</f>
        <v>-</v>
      </c>
      <c r="X11" s="20"/>
      <c r="Z11" s="16" t="s">
        <v>302</v>
      </c>
      <c r="AA11" s="16" t="s">
        <v>274</v>
      </c>
      <c r="AB11" s="16" t="s">
        <v>113</v>
      </c>
      <c r="AC11" s="47" t="s">
        <v>316</v>
      </c>
      <c r="AD11" s="47">
        <v>3</v>
      </c>
      <c r="AF11" s="19" t="s">
        <v>160</v>
      </c>
      <c r="AG11" s="19" t="s">
        <v>153</v>
      </c>
      <c r="AH11" s="71" t="s">
        <v>927</v>
      </c>
      <c r="AI11" s="72" t="s">
        <v>900</v>
      </c>
      <c r="AP11" s="43" t="s">
        <v>467</v>
      </c>
      <c r="AQ11" s="43" t="s">
        <v>468</v>
      </c>
      <c r="AR11" s="43" t="s">
        <v>467</v>
      </c>
      <c r="AU11" s="42" t="s">
        <v>494</v>
      </c>
      <c r="AV11" s="42" t="s">
        <v>495</v>
      </c>
      <c r="AW11" s="42" t="s">
        <v>494</v>
      </c>
      <c r="AX11" s="16"/>
      <c r="BE11" s="15" t="s">
        <v>359</v>
      </c>
      <c r="BF11" s="15" t="s">
        <v>360</v>
      </c>
      <c r="BG11" s="15" t="s">
        <v>779</v>
      </c>
      <c r="BH11" s="15" t="s">
        <v>780</v>
      </c>
      <c r="BJ11" s="16" t="s">
        <v>144</v>
      </c>
      <c r="BK11" s="16" t="s">
        <v>130</v>
      </c>
      <c r="BL11" s="16" t="s">
        <v>371</v>
      </c>
      <c r="BM11" s="16"/>
      <c r="BO11" s="28" t="s">
        <v>297</v>
      </c>
      <c r="BP11" s="28" t="s">
        <v>388</v>
      </c>
      <c r="BY11" s="54" t="s">
        <v>791</v>
      </c>
      <c r="BZ11" s="46" t="s">
        <v>138</v>
      </c>
      <c r="CA11" s="51" t="s">
        <v>1024</v>
      </c>
      <c r="CB11" s="54" t="s">
        <v>850</v>
      </c>
      <c r="CC11" s="67">
        <v>804920</v>
      </c>
      <c r="CD11" s="64">
        <v>9016</v>
      </c>
      <c r="CE11" s="19" t="s">
        <v>153</v>
      </c>
    </row>
    <row r="12" spans="1:83">
      <c r="A12" s="1" t="s">
        <v>51</v>
      </c>
      <c r="B12" s="2" t="s">
        <v>84</v>
      </c>
      <c r="E12" s="1" t="s">
        <v>5</v>
      </c>
      <c r="F12" s="7" t="n">
        <v>999.0</v>
      </c>
      <c r="G12" s="7" t="s">
        <v>444</v>
      </c>
      <c r="H12" s="7" t="s">
        <v>444</v>
      </c>
      <c r="I12" s="7" t="s">
        <v>444</v>
      </c>
      <c r="J12" s="7" t="s">
        <v>1082</v>
      </c>
      <c r="K12" s="7" t="n">
        <v>1.0</v>
      </c>
      <c r="L12" s="2" t="n">
        <v>0.0</v>
      </c>
      <c r="P12" s="1" t="s">
        <v>75</v>
      </c>
      <c r="Q12" s="14" t="str">
        <f>$B$7</f>
        <v>DE</v>
      </c>
      <c r="R12" s="90" t="s">
        <v>93</v>
      </c>
      <c r="S12" s="17" t="str">
        <f>IF($X$2="#43#",IF($F$12="&lt;NULL&gt;",MIN($F$16:$F$17)/10,"-"),"-")</f>
        <v>-</v>
      </c>
      <c r="T12" s="90" t="s">
        <v>93</v>
      </c>
      <c r="U12" s="17" t="str">
        <f>IF($X$3="#44#",IF($F$12="&lt;NULL&gt;",MIN($F$16:$F$17)/10,"-"),"-")</f>
        <v>-</v>
      </c>
      <c r="V12" s="89" t="s">
        <v>92</v>
      </c>
      <c r="W12" s="17" t="str">
        <f>IF($X$4="#45#",VLOOKUP($F$11,$AF$1:$AH$33,3,FALSE),"-")</f>
        <v>-</v>
      </c>
      <c r="X12" s="20"/>
      <c r="Z12" s="16" t="s">
        <v>285</v>
      </c>
      <c r="AA12" s="16" t="s">
        <v>156</v>
      </c>
      <c r="AB12" s="16" t="s">
        <v>113</v>
      </c>
      <c r="AC12" s="47" t="s">
        <v>316</v>
      </c>
      <c r="AD12" s="47">
        <v>4</v>
      </c>
      <c r="AF12" s="19" t="s">
        <v>159</v>
      </c>
      <c r="AG12" s="19" t="s">
        <v>154</v>
      </c>
      <c r="AH12" s="71" t="s">
        <v>928</v>
      </c>
      <c r="AI12" s="72" t="s">
        <v>901</v>
      </c>
      <c r="AP12" s="43" t="s">
        <v>469</v>
      </c>
      <c r="AQ12" s="43" t="s">
        <v>470</v>
      </c>
      <c r="AR12" s="43" t="s">
        <v>469</v>
      </c>
      <c r="AU12" s="42" t="s">
        <v>496</v>
      </c>
      <c r="AV12" s="42" t="s">
        <v>497</v>
      </c>
      <c r="AW12" s="42" t="s">
        <v>496</v>
      </c>
      <c r="BE12" s="16" t="s">
        <v>36</v>
      </c>
      <c r="BF12" s="16" t="s">
        <v>193</v>
      </c>
      <c r="BG12" s="16" t="s">
        <v>36</v>
      </c>
      <c r="BH12" s="16"/>
      <c r="BJ12" s="16" t="s">
        <v>145</v>
      </c>
      <c r="BK12" s="16" t="s">
        <v>130</v>
      </c>
      <c r="BL12" s="16" t="s">
        <v>372</v>
      </c>
      <c r="BM12" s="16"/>
      <c r="BO12" s="28" t="s">
        <v>408</v>
      </c>
      <c r="BP12" s="28" t="s">
        <v>389</v>
      </c>
      <c r="BV12" s="47" t="s">
        <v>84</v>
      </c>
      <c r="BW12" s="47" t="s">
        <v>550</v>
      </c>
      <c r="BY12" s="54" t="s">
        <v>792</v>
      </c>
      <c r="BZ12" s="46" t="s">
        <v>129</v>
      </c>
      <c r="CA12" s="51" t="s">
        <v>1023</v>
      </c>
      <c r="CB12" s="54" t="s">
        <v>851</v>
      </c>
      <c r="CC12" s="67">
        <v>804903</v>
      </c>
      <c r="CD12" s="64">
        <v>7010</v>
      </c>
      <c r="CE12" s="19" t="s">
        <v>187</v>
      </c>
    </row>
    <row r="13" spans="1:83">
      <c r="A13" s="1" t="s">
        <v>52</v>
      </c>
      <c r="B13" s="4" t="s">
        <v>1038</v>
      </c>
      <c r="E13" s="1" t="s">
        <v>6</v>
      </c>
      <c r="F13" s="7" t="n">
        <v>999.0</v>
      </c>
      <c r="G13" s="7" t="s">
        <v>444</v>
      </c>
      <c r="H13" s="7" t="s">
        <v>444</v>
      </c>
      <c r="I13" s="7" t="s">
        <v>444</v>
      </c>
      <c r="J13" s="7" t="s">
        <v>1085</v>
      </c>
      <c r="K13" s="7" t="n">
        <v>1.0</v>
      </c>
      <c r="L13" s="2" t="n">
        <v>0.0</v>
      </c>
      <c r="P13" s="1" t="s">
        <v>76</v>
      </c>
      <c r="Q13" s="14" t="str">
        <f>$B$12</f>
        <v>-</v>
      </c>
      <c r="R13" s="90" t="s">
        <v>94</v>
      </c>
      <c r="S13" s="17" t="str">
        <f>IF($X$2="#43#",IF($F$13="&lt;NULL&gt;",MIN($F$18:$F$20)/10,"-"),"-")</f>
        <v>-</v>
      </c>
      <c r="T13" s="90" t="s">
        <v>94</v>
      </c>
      <c r="U13" s="17" t="str">
        <f>IF($X$3="#44#",IF($F$13="&lt;NULL&gt;",MIN($F$18:$F$20)/10,"-"),"-")</f>
        <v>-</v>
      </c>
      <c r="V13" s="90" t="s">
        <v>35</v>
      </c>
      <c r="W13" s="17" t="str">
        <f>IF($X$4="#45#",IF($F$12="&lt;NULL&gt;",MAX($F$16:$F$17)/10,$F$12/10),"-")</f>
        <v>-</v>
      </c>
      <c r="X13" s="20"/>
      <c r="Z13" s="76" t="s">
        <v>983</v>
      </c>
      <c r="AB13" s="16" t="s">
        <v>113</v>
      </c>
      <c r="AC13" s="47" t="s">
        <v>316</v>
      </c>
      <c r="AD13" s="47">
        <v>5</v>
      </c>
      <c r="AF13" s="19" t="s">
        <v>157</v>
      </c>
      <c r="AG13" s="19" t="s">
        <v>190</v>
      </c>
      <c r="AH13" s="71" t="s">
        <v>930</v>
      </c>
      <c r="AI13" s="72" t="s">
        <v>890</v>
      </c>
      <c r="AP13" s="43" t="s">
        <v>471</v>
      </c>
      <c r="AQ13" s="43" t="s">
        <v>472</v>
      </c>
      <c r="AR13" s="43" t="s">
        <v>471</v>
      </c>
      <c r="AU13" s="42" t="s">
        <v>498</v>
      </c>
      <c r="AV13" s="42" t="s">
        <v>499</v>
      </c>
      <c r="AW13" s="42" t="s">
        <v>498</v>
      </c>
      <c r="BE13" s="16" t="s">
        <v>292</v>
      </c>
      <c r="BF13" s="16" t="s">
        <v>194</v>
      </c>
      <c r="BG13" s="16" t="s">
        <v>292</v>
      </c>
      <c r="BH13" s="16"/>
      <c r="BJ13" s="16" t="s">
        <v>146</v>
      </c>
      <c r="BK13" s="16" t="s">
        <v>130</v>
      </c>
      <c r="BL13" s="16" t="s">
        <v>369</v>
      </c>
      <c r="BM13" s="16"/>
      <c r="BO13" s="28" t="s">
        <v>314</v>
      </c>
      <c r="BP13" s="28" t="s">
        <v>390</v>
      </c>
      <c r="BV13" s="47" t="s">
        <v>775</v>
      </c>
      <c r="BW13" s="49" t="s">
        <v>769</v>
      </c>
      <c r="BY13" s="57" t="s">
        <v>793</v>
      </c>
      <c r="BZ13" s="58" t="s">
        <v>794</v>
      </c>
      <c r="CA13" t="s">
        <v>793</v>
      </c>
      <c r="CB13" s="54" t="s">
        <v>865</v>
      </c>
      <c r="CC13" s="67">
        <v>804903</v>
      </c>
      <c r="CD13" s="64">
        <v>7010</v>
      </c>
      <c r="CE13" s="19" t="s">
        <v>187</v>
      </c>
    </row>
    <row r="14" spans="1:83">
      <c r="A14" s="1" t="s">
        <v>53</v>
      </c>
      <c r="B14" s="5" t="s">
        <v>1039</v>
      </c>
      <c r="E14" s="1" t="s">
        <v>523</v>
      </c>
      <c r="F14" s="7" t="s">
        <v>444</v>
      </c>
      <c r="G14" s="7" t="s">
        <v>444</v>
      </c>
      <c r="H14" s="7" t="s">
        <v>444</v>
      </c>
      <c r="I14" s="7" t="s">
        <v>444</v>
      </c>
      <c r="J14" s="7" t="s">
        <v>1084</v>
      </c>
      <c r="K14" s="7" t="n">
        <v>0.0</v>
      </c>
      <c r="L14" s="2"/>
      <c r="P14" s="1" t="s">
        <v>77</v>
      </c>
      <c r="Q14" s="14" t="str">
        <f>$B$8</f>
        <v>kk@hkl.eu</v>
      </c>
      <c r="R14" s="90" t="s">
        <v>37</v>
      </c>
      <c r="S14" s="17" t="str">
        <f>IF($X$2="#43#",IF(OR($F$32="&lt;NULL&gt;",$F$32="&lt;NONE&gt;"),"-",$F$32/10),"-")</f>
        <v>-</v>
      </c>
      <c r="T14" s="89" t="s">
        <v>37</v>
      </c>
      <c r="U14" s="17" t="str">
        <f>IF($X$3="#44#",IF(OR($F$32="&lt;NULL&gt;",$F$32="&lt;NONE&gt;"),"-",$F$32/10),"-")</f>
        <v>-</v>
      </c>
      <c r="V14" s="90" t="s">
        <v>36</v>
      </c>
      <c r="W14" s="17" t="str">
        <f>IF($X$4="#45#",IF($F$13="&lt;NULL&gt;",MAX($F$18:$F$20)/10,$F$13/10),"-")</f>
        <v>-</v>
      </c>
      <c r="X14" s="20"/>
      <c r="Z14" s="76" t="s">
        <v>983</v>
      </c>
      <c r="AB14" s="16" t="s">
        <v>113</v>
      </c>
      <c r="AC14" s="47" t="s">
        <v>316</v>
      </c>
      <c r="AD14" s="47">
        <v>6</v>
      </c>
      <c r="AF14" s="19" t="s">
        <v>158</v>
      </c>
      <c r="AG14" s="19" t="s">
        <v>192</v>
      </c>
      <c r="AH14" s="71" t="s">
        <v>933</v>
      </c>
      <c r="AI14" s="72" t="s">
        <v>902</v>
      </c>
      <c r="AP14" s="43" t="s">
        <v>473</v>
      </c>
      <c r="AQ14" s="43" t="s">
        <v>474</v>
      </c>
      <c r="AR14" s="43" t="s">
        <v>473</v>
      </c>
      <c r="BE14" s="16" t="s">
        <v>444</v>
      </c>
      <c r="BF14" s="16" t="s">
        <v>84</v>
      </c>
      <c r="BG14" s="16" t="s">
        <v>84</v>
      </c>
      <c r="BJ14" s="16" t="s">
        <v>147</v>
      </c>
      <c r="BK14" s="16" t="s">
        <v>131</v>
      </c>
      <c r="BL14" s="16" t="s">
        <v>366</v>
      </c>
      <c r="BM14" s="16"/>
      <c r="BO14" s="28" t="s">
        <v>409</v>
      </c>
      <c r="BP14" s="28" t="s">
        <v>391</v>
      </c>
      <c r="BV14" s="47" t="s">
        <v>774</v>
      </c>
      <c r="BW14" s="49" t="s">
        <v>770</v>
      </c>
      <c r="BY14" s="57" t="s">
        <v>795</v>
      </c>
      <c r="BZ14" s="58" t="s">
        <v>796</v>
      </c>
      <c r="CA14" t="s">
        <v>1022</v>
      </c>
      <c r="CB14" s="54" t="s">
        <v>852</v>
      </c>
      <c r="CC14" s="67">
        <v>804905</v>
      </c>
      <c r="CD14" s="64">
        <v>8022</v>
      </c>
      <c r="CE14" s="19" t="s">
        <v>188</v>
      </c>
    </row>
    <row r="15" spans="1:83">
      <c r="A15" s="1" t="s">
        <v>54</v>
      </c>
      <c r="B15" s="2" t="s">
        <v>1033</v>
      </c>
      <c r="E15" s="1" t="s">
        <v>374</v>
      </c>
      <c r="F15" s="7"/>
      <c r="G15" s="7"/>
      <c r="H15" s="7"/>
      <c r="I15" s="7"/>
      <c r="J15" s="7"/>
      <c r="K15" s="7"/>
      <c r="L15" s="2"/>
      <c r="P15" s="1" t="s">
        <v>78</v>
      </c>
      <c r="Q15" s="14"/>
      <c r="R15" s="89" t="s">
        <v>38</v>
      </c>
      <c r="S15" s="17" t="str">
        <f>IF($X$2="#43#",IF($F$31="CS_NO","N",IF($F$31="CS_YES","T","-")),"-")</f>
        <v>-</v>
      </c>
      <c r="T15" s="89" t="s">
        <v>38</v>
      </c>
      <c r="U15" s="17" t="str">
        <f>IF($X$3="#44#",IF($F$31="CS_NO","N",IF($F$31="CS_YES","T","-")),"-")</f>
        <v>-</v>
      </c>
      <c r="V15" s="90" t="s">
        <v>93</v>
      </c>
      <c r="W15" s="17" t="str">
        <f>IF($X$4="#45#",IF($F$12="&lt;NULL&gt;",MIN($F$16:$F$17)/10,"-"),"-")</f>
        <v>-</v>
      </c>
      <c r="X15" s="20"/>
      <c r="Z15" s="76" t="s">
        <v>983</v>
      </c>
      <c r="AB15" s="16" t="s">
        <v>113</v>
      </c>
      <c r="AC15" s="47" t="s">
        <v>316</v>
      </c>
      <c r="AD15" s="47">
        <v>7</v>
      </c>
      <c r="AF15" s="19" t="s">
        <v>161</v>
      </c>
      <c r="AG15" s="19" t="s">
        <v>153</v>
      </c>
      <c r="AH15" s="71" t="s">
        <v>927</v>
      </c>
      <c r="AI15" s="72" t="s">
        <v>900</v>
      </c>
      <c r="AP15" s="43" t="s">
        <v>475</v>
      </c>
      <c r="AQ15" s="43" t="s">
        <v>476</v>
      </c>
      <c r="AR15" s="43" t="s">
        <v>475</v>
      </c>
      <c r="BE15" s="16" t="s">
        <v>277</v>
      </c>
      <c r="BF15" s="16" t="s">
        <v>84</v>
      </c>
      <c r="BG15" s="16" t="s">
        <v>84</v>
      </c>
      <c r="BJ15" s="16" t="s">
        <v>148</v>
      </c>
      <c r="BK15" s="16" t="s">
        <v>131</v>
      </c>
      <c r="BL15" s="16" t="s">
        <v>367</v>
      </c>
      <c r="BM15" s="16"/>
      <c r="BO15" s="28" t="s">
        <v>410</v>
      </c>
      <c r="BP15" s="28" t="s">
        <v>394</v>
      </c>
      <c r="BV15" s="47" t="s">
        <v>778</v>
      </c>
      <c r="BW15" s="49" t="s">
        <v>771</v>
      </c>
      <c r="BY15" s="57" t="s">
        <v>401</v>
      </c>
      <c r="BZ15" s="58" t="s">
        <v>797</v>
      </c>
      <c r="CA15" t="s">
        <v>401</v>
      </c>
      <c r="CB15" s="54" t="s">
        <v>866</v>
      </c>
      <c r="CC15" s="67">
        <v>804905</v>
      </c>
      <c r="CD15" s="64">
        <v>8022</v>
      </c>
      <c r="CE15" s="19" t="s">
        <v>188</v>
      </c>
    </row>
    <row r="16" spans="1:83" ht="15.75" thickBot="1">
      <c r="A16" s="82" t="s">
        <v>55</v>
      </c>
      <c r="B16" s="6" t="n">
        <v>13156.0</v>
      </c>
      <c r="E16" s="1" t="s">
        <v>375</v>
      </c>
      <c r="F16" s="7"/>
      <c r="G16" s="7"/>
      <c r="H16" s="7"/>
      <c r="I16" s="7"/>
      <c r="J16" s="7"/>
      <c r="K16" s="7"/>
      <c r="L16" s="2"/>
      <c r="P16" s="1" t="s">
        <v>64</v>
      </c>
      <c r="Q16" s="14" t="str">
        <f>IF($D$7="&lt;NULL&gt;","-",$D$7&amp;IF(RIGHT(F3,2)="_L"," | Wyższy bok lewy",IF(RIGHT(F3,2)="_R"," | Wyższy bok prawy","")))</f>
        <v>-</v>
      </c>
      <c r="R16" s="90" t="s">
        <v>95</v>
      </c>
      <c r="S16" s="17" t="str">
        <f>IF($X$2="#43#",VLOOKUP(IF($F$22="&lt;NULL&gt;",IF($F$29="&lt;NULL&gt;",$F$30,$F$29),$F$22),$BE$2:$BG$7,3,0),"-")</f>
        <v>-</v>
      </c>
      <c r="T16" s="90" t="s">
        <v>95</v>
      </c>
      <c r="U16" s="17" t="str">
        <f>IF($X$3="#44#",VLOOKUP(IF($F$22="&lt;NULL&gt;",IF($F$29="&lt;NULL&gt;",$F$30,$F$29),$F$22),$BE$2:$BG$7,3,0),"-")</f>
        <v>-</v>
      </c>
      <c r="V16" s="90" t="s">
        <v>94</v>
      </c>
      <c r="W16" s="17" t="str">
        <f>IF($X$4="#45#",IF($F$13="&lt;NULL&gt;",MIN($F$18:$F$20)/10,"-"),"-")</f>
        <v>-</v>
      </c>
      <c r="X16" s="20"/>
      <c r="Z16" s="76" t="s">
        <v>983</v>
      </c>
      <c r="AB16" s="16" t="s">
        <v>113</v>
      </c>
      <c r="AC16" s="47" t="s">
        <v>316</v>
      </c>
      <c r="AD16" s="47">
        <v>8</v>
      </c>
      <c r="AF16" s="19" t="s">
        <v>164</v>
      </c>
      <c r="AG16" s="19" t="s">
        <v>154</v>
      </c>
      <c r="AH16" s="71" t="s">
        <v>928</v>
      </c>
      <c r="AI16" s="72" t="s">
        <v>901</v>
      </c>
      <c r="AP16" s="43" t="s">
        <v>477</v>
      </c>
      <c r="AQ16" s="43" t="s">
        <v>257</v>
      </c>
      <c r="AR16" s="43" t="s">
        <v>477</v>
      </c>
      <c r="BJ16" s="16" t="s">
        <v>149</v>
      </c>
      <c r="BK16" s="16" t="s">
        <v>131</v>
      </c>
      <c r="BL16" s="16" t="s">
        <v>368</v>
      </c>
      <c r="BM16" s="16"/>
      <c r="BO16" s="28" t="s">
        <v>401</v>
      </c>
      <c r="BP16" s="28" t="s">
        <v>403</v>
      </c>
      <c r="BV16" s="47" t="s">
        <v>776</v>
      </c>
      <c r="BW16" s="49" t="s">
        <v>772</v>
      </c>
      <c r="BY16" s="59" t="s">
        <v>402</v>
      </c>
      <c r="BZ16" s="60" t="s">
        <v>798</v>
      </c>
      <c r="CA16" s="62" t="s">
        <v>402</v>
      </c>
      <c r="CB16" s="54" t="s">
        <v>853</v>
      </c>
      <c r="CC16" s="67">
        <v>804903</v>
      </c>
      <c r="CD16" s="64">
        <v>7000</v>
      </c>
      <c r="CE16" s="19" t="s">
        <v>189</v>
      </c>
    </row>
    <row r="17" spans="1:83" ht="15.75" thickBot="1">
      <c r="A17" s="82" t="s">
        <v>418</v>
      </c>
      <c r="B17" s="6" t="n">
        <v>1465.0</v>
      </c>
      <c r="E17" s="1" t="s">
        <v>376</v>
      </c>
      <c r="F17" s="7"/>
      <c r="G17" s="7"/>
      <c r="H17" s="7"/>
      <c r="I17" s="7"/>
      <c r="J17" s="7"/>
      <c r="K17" s="7"/>
      <c r="L17" s="2"/>
      <c r="P17" s="29" t="s">
        <v>439</v>
      </c>
      <c r="Q17" s="30" t="n">
        <f>F2</f>
        <v>1.0</v>
      </c>
      <c r="R17" s="89" t="s">
        <v>39</v>
      </c>
      <c r="S17" s="17" t="str">
        <f>IF($X$2="#43#",IF(OR($F$37="&lt;NULL&gt;",$F$37="&lt;NONE&gt;"),"-",VLOOKUP($F$37,BJ:BL,3,FALSE)),"-")</f>
        <v>-</v>
      </c>
      <c r="T17" s="89" t="s">
        <v>39</v>
      </c>
      <c r="U17" s="17" t="str">
        <f>IF($X$3="#44#",IF(OR($F$37="&lt;NULL&gt;",$F$37="&lt;NONE&gt;"),"-",VLOOKUP($F$37,$BJ:$BL,3,FALSE)),"-")</f>
        <v>-</v>
      </c>
      <c r="V17" s="90" t="s">
        <v>95</v>
      </c>
      <c r="W17" s="17" t="str">
        <f>IF($X$4="#45#",VLOOKUP(IF($F$22="&lt;NULL&gt;",IF($F$29="&lt;NULL&gt;",$F$30,$F$29),$F$22),$BE$2:$BG$7,3,0),"-")</f>
        <v>-</v>
      </c>
      <c r="X17" s="20"/>
      <c r="Z17" s="16" t="s">
        <v>301</v>
      </c>
      <c r="AA17" s="16" t="s">
        <v>205</v>
      </c>
      <c r="AB17" s="16" t="s">
        <v>113</v>
      </c>
      <c r="AC17" s="47" t="s">
        <v>316</v>
      </c>
      <c r="AD17" s="47" t="s">
        <v>325</v>
      </c>
      <c r="AF17" s="19" t="s">
        <v>163</v>
      </c>
      <c r="AG17" s="19" t="s">
        <v>190</v>
      </c>
      <c r="AH17" s="71" t="s">
        <v>930</v>
      </c>
      <c r="AI17" s="72" t="s">
        <v>890</v>
      </c>
      <c r="AP17" s="43" t="s">
        <v>478</v>
      </c>
      <c r="AQ17" s="43" t="s">
        <v>258</v>
      </c>
      <c r="AR17" s="43" t="s">
        <v>478</v>
      </c>
      <c r="BJ17" s="16" t="s">
        <v>150</v>
      </c>
      <c r="BK17" s="16" t="s">
        <v>131</v>
      </c>
      <c r="BL17" s="16" t="s">
        <v>365</v>
      </c>
      <c r="BM17" s="16"/>
      <c r="BO17" s="28" t="s">
        <v>402</v>
      </c>
      <c r="BP17" s="28" t="s">
        <v>404</v>
      </c>
      <c r="BQ17" t="s">
        <v>84</v>
      </c>
      <c r="BV17" s="47" t="s">
        <v>777</v>
      </c>
      <c r="BW17" s="49" t="s">
        <v>773</v>
      </c>
      <c r="CB17" s="54" t="s">
        <v>867</v>
      </c>
      <c r="CC17" s="67">
        <v>804903</v>
      </c>
      <c r="CD17" s="64">
        <v>7000</v>
      </c>
      <c r="CE17" s="19" t="s">
        <v>189</v>
      </c>
    </row>
    <row r="18" spans="1:83">
      <c r="A18"/>
      <c r="E18" s="1" t="s">
        <v>377</v>
      </c>
      <c r="F18" s="7"/>
      <c r="G18" s="7"/>
      <c r="H18" s="7"/>
      <c r="I18" s="7"/>
      <c r="J18" s="7"/>
      <c r="K18" s="7"/>
      <c r="L18" s="2"/>
      <c r="P18" s="29" t="s">
        <v>440</v>
      </c>
      <c r="Q18" s="30">
        <v>1</v>
      </c>
      <c r="R18" s="90" t="s">
        <v>96</v>
      </c>
      <c r="S18" s="17" t="n">
        <f>IF(AND(NOT($F$21="&lt;NULL&gt;"),$X$2="#43#"),IF(ISERROR(VLOOKUP($F$21&amp;"-"&amp;$F$11,$CB$2:$CC$28,2,0)),VLOOKUP($F$21,$BY$5:$CA$16,3,0),VLOOKUP($F$21&amp;"-"&amp;$F$11,$CB$2:$CC$28,2,0)),"-")</f>
        <v>303003.0</v>
      </c>
      <c r="T18" s="90" t="s">
        <v>96</v>
      </c>
      <c r="U18" s="17" t="str">
        <f>IF(AND(NOT($F$21="&lt;NULL&gt;"),$X$3="#44#"),IF(ISERROR(VLOOKUP($F$21&amp;"-"&amp;$F$11,$CB$2:$CC$28,2,0)),VLOOKUP($F$21,$BY$5:$CA$16,2,0),VLOOKUP($F$21&amp;"-"&amp;$F$11,$CB$2:$CC$28,2,0)),"-")</f>
        <v>-</v>
      </c>
      <c r="V18" s="89" t="s">
        <v>39</v>
      </c>
      <c r="W18" s="17" t="str">
        <f>IF($X$4="#45#",IF(OR($F$37="&lt;NULL&gt;",$F$37="&lt;NONE&gt;"),"-",VLOOKUP($F$37,$BJ:$BL,3,FALSE)),"-")</f>
        <v>-</v>
      </c>
      <c r="X18" s="20"/>
      <c r="Z18" t="s">
        <v>984</v>
      </c>
      <c r="AA18" t="s">
        <v>985</v>
      </c>
      <c r="AB18" s="16" t="s">
        <v>113</v>
      </c>
      <c r="AC18" s="47" t="s">
        <v>316</v>
      </c>
      <c r="AD18" s="47" t="s">
        <v>959</v>
      </c>
      <c r="AF18" s="19" t="s">
        <v>162</v>
      </c>
      <c r="AG18" s="19" t="s">
        <v>192</v>
      </c>
      <c r="AH18" s="71" t="s">
        <v>933</v>
      </c>
      <c r="AI18" s="72" t="s">
        <v>902</v>
      </c>
      <c r="AP18" s="43" t="s">
        <v>479</v>
      </c>
      <c r="AQ18" s="43" t="s">
        <v>259</v>
      </c>
      <c r="AR18" s="43" t="s">
        <v>479</v>
      </c>
      <c r="BJ18" s="16" t="s">
        <v>174</v>
      </c>
      <c r="BK18" s="16" t="s">
        <v>131</v>
      </c>
      <c r="BL18" s="16" t="s">
        <v>1013</v>
      </c>
      <c r="BM18" s="16"/>
      <c r="BO18" s="28" t="s">
        <v>392</v>
      </c>
      <c r="BP18" s="28" t="s">
        <v>390</v>
      </c>
      <c r="BV18" s="47" t="s">
        <v>767</v>
      </c>
      <c r="BW18" s="47" t="s">
        <v>768</v>
      </c>
      <c r="CB18" s="54" t="s">
        <v>854</v>
      </c>
      <c r="CC18" s="67">
        <v>804924</v>
      </c>
      <c r="CD18" s="64">
        <v>7016</v>
      </c>
      <c r="CE18" s="19" t="s">
        <v>190</v>
      </c>
    </row>
    <row r="19" spans="1:83">
      <c r="E19" s="1" t="s">
        <v>378</v>
      </c>
      <c r="F19" s="7"/>
      <c r="G19" s="7"/>
      <c r="H19" s="7"/>
      <c r="I19" s="7"/>
      <c r="J19" s="7"/>
      <c r="K19" s="7"/>
      <c r="L19" s="2"/>
      <c r="P19" s="29" t="s">
        <v>79</v>
      </c>
      <c r="Q19" s="30" t="n">
        <f>IF(ISERROR($F$44/1),0,$F$44)</f>
        <v>173.5</v>
      </c>
      <c r="R19" s="89" t="s">
        <v>97</v>
      </c>
      <c r="S19" s="17" t="str">
        <f>IF($X$2="#43#",IF(OR($F$33="&lt;NULL&gt;",$F$33="&lt;NONE&gt;"),"-",$F$33/10),"-")</f>
        <v>-</v>
      </c>
      <c r="T19" s="89" t="s">
        <v>97</v>
      </c>
      <c r="U19" s="17" t="str">
        <f>IF($X$3="#44#",IF(OR($F$33="&lt;NULL&gt;",$F$33="&lt;NONE&gt;"),"-",$F$33/10),"-")</f>
        <v>-</v>
      </c>
      <c r="V19" s="90" t="s">
        <v>96</v>
      </c>
      <c r="W19" s="17" t="str">
        <f>IF(AND(NOT($F$21="&lt;NULL&gt;"),$X$4="#45#"),IF(ISERROR(VLOOKUP($F$21&amp;"-"&amp;$F$11,$CB$2:$CC$28,2,0)),VLOOKUP($F$21,$BY$5:$CA$16,2,0),VLOOKUP($F$21&amp;"-"&amp;$F$11,$CB$2:$CC$28,2,0)),"-")</f>
        <v>-</v>
      </c>
      <c r="X19" s="20"/>
      <c r="Z19" t="s">
        <v>986</v>
      </c>
      <c r="AA19" t="s">
        <v>987</v>
      </c>
      <c r="AB19" s="16" t="s">
        <v>113</v>
      </c>
      <c r="AC19" s="47" t="s">
        <v>316</v>
      </c>
      <c r="AD19" s="47" t="s">
        <v>960</v>
      </c>
      <c r="AF19" s="19" t="s">
        <v>165</v>
      </c>
      <c r="AG19" s="19" t="s">
        <v>153</v>
      </c>
      <c r="AH19" s="71" t="s">
        <v>896</v>
      </c>
      <c r="AI19" s="72" t="s">
        <v>897</v>
      </c>
      <c r="BJ19" s="16" t="s">
        <v>175</v>
      </c>
      <c r="BK19" s="16" t="s">
        <v>131</v>
      </c>
      <c r="BL19" s="16" t="s">
        <v>1014</v>
      </c>
      <c r="BM19" s="16"/>
      <c r="BO19" s="28" t="s">
        <v>285</v>
      </c>
      <c r="BP19" s="28" t="s">
        <v>399</v>
      </c>
      <c r="BV19" s="47" t="s">
        <v>314</v>
      </c>
      <c r="BW19" s="47" t="s">
        <v>766</v>
      </c>
      <c r="CB19" s="54" t="s">
        <v>855</v>
      </c>
      <c r="CC19" s="67">
        <v>804905</v>
      </c>
      <c r="CD19" s="64">
        <v>4567</v>
      </c>
      <c r="CE19" s="19" t="s">
        <v>191</v>
      </c>
    </row>
    <row r="20" spans="1:83">
      <c r="E20" s="1" t="s">
        <v>379</v>
      </c>
      <c r="F20" s="7"/>
      <c r="G20" s="7"/>
      <c r="H20" s="7"/>
      <c r="I20" s="7"/>
      <c r="J20" s="7"/>
      <c r="K20" s="7"/>
      <c r="L20" s="2"/>
      <c r="P20" s="29" t="s">
        <v>80</v>
      </c>
      <c r="Q20" s="30" t="n">
        <f>ROUND(IF(ISERROR($Q$21/$Q$19),0,$Q$21/$Q$19),4)</f>
        <v>0.6</v>
      </c>
      <c r="R20" s="90" t="s">
        <v>98</v>
      </c>
      <c r="S20" s="17" t="str">
        <f>IF($X$2="#43#",VLOOKUP($F$34,$BT$2:$BV$10,3,FALSE),"-")</f>
        <v>-</v>
      </c>
      <c r="T20" s="90" t="s">
        <v>98</v>
      </c>
      <c r="U20" s="17" t="str">
        <f>IF($X$3="#44#",VLOOKUP($F$34,$BT$2:$BV$10,3,FALSE),"-")</f>
        <v>-</v>
      </c>
      <c r="V20" s="89" t="s">
        <v>97</v>
      </c>
      <c r="W20" s="17" t="str">
        <f>IF($X$4="#45#",IF(OR($F$33="&lt;NULL&gt;",$F$33="&lt;NONE&gt;"),"-",$F$33/10),"-")</f>
        <v>-</v>
      </c>
      <c r="X20" s="20"/>
      <c r="Z20" s="16" t="s">
        <v>303</v>
      </c>
      <c r="AA20" s="16" t="s">
        <v>155</v>
      </c>
      <c r="AB20" s="16" t="s">
        <v>113</v>
      </c>
      <c r="AC20" s="47" t="s">
        <v>316</v>
      </c>
      <c r="AD20" s="47" t="s">
        <v>326</v>
      </c>
      <c r="AF20" s="19" t="s">
        <v>168</v>
      </c>
      <c r="AG20" s="19" t="s">
        <v>154</v>
      </c>
      <c r="AH20" s="71" t="s">
        <v>892</v>
      </c>
      <c r="AI20" s="72" t="s">
        <v>894</v>
      </c>
      <c r="BJ20" s="16" t="s">
        <v>176</v>
      </c>
      <c r="BK20" s="16" t="s">
        <v>131</v>
      </c>
      <c r="BL20" s="16" t="s">
        <v>1015</v>
      </c>
      <c r="BM20" s="16"/>
      <c r="BO20" s="28" t="s">
        <v>400</v>
      </c>
      <c r="BP20" s="28" t="s">
        <v>506</v>
      </c>
      <c r="CB20" s="54" t="s">
        <v>856</v>
      </c>
      <c r="CC20" s="67" t="s">
        <v>818</v>
      </c>
      <c r="CD20" s="64">
        <v>9016</v>
      </c>
      <c r="CE20" s="19" t="s">
        <v>153</v>
      </c>
    </row>
    <row r="21" spans="1:83">
      <c r="E21" s="1" t="s">
        <v>7</v>
      </c>
      <c r="F21" s="7" t="s">
        <v>781</v>
      </c>
      <c r="G21" s="7" t="s">
        <v>1075</v>
      </c>
      <c r="H21" s="7" t="s">
        <v>781</v>
      </c>
      <c r="I21" s="7" t="s">
        <v>1075</v>
      </c>
      <c r="J21" s="7" t="s">
        <v>1077</v>
      </c>
      <c r="K21" s="7" t="n">
        <v>1.0</v>
      </c>
      <c r="L21" s="2" t="n">
        <v>1.0</v>
      </c>
      <c r="P21" s="29" t="s">
        <v>81</v>
      </c>
      <c r="Q21" s="30" t="n">
        <f>$Q$19-$Q$22</f>
        <v>104.1</v>
      </c>
      <c r="R21" s="89" t="s">
        <v>99</v>
      </c>
      <c r="S21" s="17" t="str">
        <f>IF($X$2="#43#",IF(OR($F$35="&lt;NULL&gt;",$F$35="&lt;NONE&gt;"),"-",VLOOKUP($F$35,$BO$1:$BQ$25,3,FALSE)),"-")</f>
        <v>S</v>
      </c>
      <c r="T21" s="89" t="s">
        <v>99</v>
      </c>
      <c r="U21" s="17" t="str">
        <f>IF($X$3="#44#",IF(OR($F$35="&lt;NULL&gt;",$F$35="&lt;NONE&gt;"),"-",VLOOKUP($F$35,$BO$1:$BQ$25,3,FALSE)),"-")</f>
        <v>-</v>
      </c>
      <c r="V21" s="90" t="s">
        <v>98</v>
      </c>
      <c r="W21" s="17" t="str">
        <f>IF($X$4="#45#",VLOOKUP($F$34,$BT$2:$BV$10,3,FALSE),"-")</f>
        <v>-</v>
      </c>
      <c r="X21" s="20"/>
      <c r="Z21" s="16" t="s">
        <v>284</v>
      </c>
      <c r="AA21" s="16" t="s">
        <v>273</v>
      </c>
      <c r="AB21" s="16" t="s">
        <v>113</v>
      </c>
      <c r="AC21" s="47" t="s">
        <v>316</v>
      </c>
      <c r="AD21" s="47" t="s">
        <v>282</v>
      </c>
      <c r="AF21" s="19" t="s">
        <v>167</v>
      </c>
      <c r="AG21" s="19" t="s">
        <v>190</v>
      </c>
      <c r="AH21" s="71" t="s">
        <v>898</v>
      </c>
      <c r="AI21" s="72" t="s">
        <v>899</v>
      </c>
      <c r="BJ21" s="16" t="s">
        <v>177</v>
      </c>
      <c r="BK21" s="16" t="s">
        <v>131</v>
      </c>
      <c r="BL21" s="16" t="s">
        <v>1016</v>
      </c>
      <c r="BM21" s="16"/>
      <c r="BO21" t="s">
        <v>278</v>
      </c>
      <c r="BP21" t="s">
        <v>278</v>
      </c>
      <c r="CB21" s="54" t="s">
        <v>857</v>
      </c>
      <c r="CC21" s="67" t="s">
        <v>817</v>
      </c>
      <c r="CD21" s="64">
        <v>7010</v>
      </c>
      <c r="CE21" s="19" t="s">
        <v>187</v>
      </c>
    </row>
    <row r="22" spans="1:83">
      <c r="E22" s="85" t="s">
        <v>8</v>
      </c>
      <c r="F22" s="7" t="s">
        <v>444</v>
      </c>
      <c r="G22" s="7" t="s">
        <v>444</v>
      </c>
      <c r="H22" s="7" t="s">
        <v>444</v>
      </c>
      <c r="I22" s="7" t="s">
        <v>444</v>
      </c>
      <c r="J22" s="7" t="s">
        <v>1079</v>
      </c>
      <c r="K22" s="7" t="n">
        <v>0.0</v>
      </c>
      <c r="L22" s="2" t="n">
        <v>1.0</v>
      </c>
      <c r="P22" s="33" t="s">
        <v>82</v>
      </c>
      <c r="Q22" s="34" t="n">
        <f>IF(ISERROR($F$48/1),Q19,$F$48)</f>
        <v>69.4</v>
      </c>
      <c r="R22" s="90" t="s">
        <v>100</v>
      </c>
      <c r="S22" s="17" t="str">
        <f>IF($X$2="#43#",IF(OR($F$34="&lt;NULL&gt;",$F$34="&lt;NONE&gt;"),"-",VLOOKUP($F$35,$BO$1:$BQ$25,3,FALSE)),"-")</f>
        <v>-</v>
      </c>
      <c r="T22" s="90" t="s">
        <v>100</v>
      </c>
      <c r="U22" s="17" t="str">
        <f>IF($X$3="#44#",IF(OR($F$34="&lt;NULL&gt;",$F$34="&lt;NONE&gt;"),"-",VLOOKUP($F$35,$BO$1:$BQ$25,3,FALSE)),"-")</f>
        <v>-</v>
      </c>
      <c r="V22" s="89" t="s">
        <v>99</v>
      </c>
      <c r="W22" s="17" t="str">
        <f>IF($X$4="#45#",IF(OR($F$35="&lt;NULL&gt;",$F$35="&lt;NONE&gt;"),"-",VLOOKUP($F$35,$BO$1:$BQ$25,3,FALSE)),"-")</f>
        <v>-</v>
      </c>
      <c r="X22" s="20"/>
      <c r="Z22" t="s">
        <v>988</v>
      </c>
      <c r="AA22" t="s">
        <v>989</v>
      </c>
      <c r="AB22" s="16" t="s">
        <v>113</v>
      </c>
      <c r="AC22" s="47" t="s">
        <v>316</v>
      </c>
      <c r="AD22" s="47" t="s">
        <v>961</v>
      </c>
      <c r="AF22" s="19" t="s">
        <v>166</v>
      </c>
      <c r="AG22" s="19" t="s">
        <v>192</v>
      </c>
      <c r="AH22" s="71" t="s">
        <v>893</v>
      </c>
      <c r="AI22" s="72" t="s">
        <v>895</v>
      </c>
      <c r="BJ22" t="str">
        <f>$BJ$4&amp;"|"&amp;BJ5</f>
        <v>UK|STABEL125</v>
      </c>
      <c r="BK22" t="s">
        <v>138</v>
      </c>
      <c r="BL22" t="s">
        <v>1017</v>
      </c>
      <c r="BO22" t="s">
        <v>507</v>
      </c>
      <c r="BP22" t="s">
        <v>278</v>
      </c>
      <c r="CB22" s="54" t="s">
        <v>868</v>
      </c>
      <c r="CC22" s="67" t="s">
        <v>817</v>
      </c>
      <c r="CD22" s="64">
        <v>7010</v>
      </c>
      <c r="CE22" s="19" t="s">
        <v>187</v>
      </c>
    </row>
    <row r="23" spans="1:83">
      <c r="E23" s="1" t="s">
        <v>9</v>
      </c>
      <c r="F23" s="7" t="s">
        <v>444</v>
      </c>
      <c r="G23" s="7" t="s">
        <v>444</v>
      </c>
      <c r="H23" s="7" t="s">
        <v>444</v>
      </c>
      <c r="I23" s="7" t="s">
        <v>444</v>
      </c>
      <c r="J23" s="7" t="s">
        <v>9</v>
      </c>
      <c r="K23" s="7" t="n">
        <v>0.0</v>
      </c>
      <c r="L23" s="2" t="n">
        <v>1.0</v>
      </c>
      <c r="P23" s="35" t="s">
        <v>436</v>
      </c>
      <c r="Q23" s="36" t="str">
        <f>$D$8&amp;" "&amp;$D$6&amp;" "&amp;$F$50</f>
        <v>PLISSEE COSIFLOR MODELL=VS2_M,STOFF=20401-P20,SYSTEMFARBE=02,BREITE [MM]=999,HÖHE [MM]=999,BEDIENUNG=KHG,MONTAGEART=SPSCHM</v>
      </c>
      <c r="R23" s="91" t="s">
        <v>101</v>
      </c>
      <c r="S23" s="17" t="str">
        <f>IF($X$2="#43#",IF(LEFT(F37,2)="UK","Uchwyt korby","-"),"-")</f>
        <v>-</v>
      </c>
      <c r="T23" s="91" t="s">
        <v>101</v>
      </c>
      <c r="U23" s="17" t="str">
        <f>IF($X$3="#44#",IF(LEFT(F37,2)="UK","Uchwyt korby","-"),"-")</f>
        <v>-</v>
      </c>
      <c r="V23" s="90" t="s">
        <v>100</v>
      </c>
      <c r="W23" s="17" t="str">
        <f>IF($X$4="#45#",IF(OR($F$34="&lt;NULL&gt;",$F$34="&lt;NONE&gt;"),"-",VLOOKUP($F$35,$BO$1:$BQ$25,3,FALSE)),"-")</f>
        <v>-</v>
      </c>
      <c r="X23" s="20"/>
      <c r="Z23" s="16" t="s">
        <v>290</v>
      </c>
      <c r="AA23" s="16" t="s">
        <v>180</v>
      </c>
      <c r="AB23" s="16" t="s">
        <v>113</v>
      </c>
      <c r="AC23" s="47" t="s">
        <v>316</v>
      </c>
      <c r="AD23" s="47" t="s">
        <v>256</v>
      </c>
      <c r="AF23" s="19" t="s">
        <v>169</v>
      </c>
      <c r="AG23" s="19" t="s">
        <v>153</v>
      </c>
      <c r="AH23" s="71" t="s">
        <v>881</v>
      </c>
      <c r="AI23" s="72" t="s">
        <v>877</v>
      </c>
      <c r="BJ23" t="str">
        <f t="shared" ref="BJ23:BJ38" si="0">$BJ$4&amp;"|"&amp;BJ6</f>
        <v>UK|KUR125</v>
      </c>
      <c r="BK23" t="s">
        <v>129</v>
      </c>
      <c r="BL23" t="s">
        <v>1018</v>
      </c>
      <c r="BO23" t="s">
        <v>508</v>
      </c>
      <c r="BP23" t="s">
        <v>278</v>
      </c>
      <c r="CB23" s="54" t="s">
        <v>858</v>
      </c>
      <c r="CC23" s="67" t="s">
        <v>815</v>
      </c>
      <c r="CD23" s="64">
        <v>8022</v>
      </c>
      <c r="CE23" s="19" t="s">
        <v>188</v>
      </c>
    </row>
    <row r="24" spans="1:83">
      <c r="E24" s="1" t="s">
        <v>10</v>
      </c>
      <c r="F24" s="7" t="s">
        <v>444</v>
      </c>
      <c r="G24" s="7" t="s">
        <v>444</v>
      </c>
      <c r="H24" s="7" t="s">
        <v>444</v>
      </c>
      <c r="I24" s="7" t="s">
        <v>444</v>
      </c>
      <c r="J24" s="7" t="s">
        <v>1087</v>
      </c>
      <c r="K24" s="7" t="n">
        <v>0.0</v>
      </c>
      <c r="L24" s="2" t="n">
        <v>1.0</v>
      </c>
      <c r="P24" s="29" t="s">
        <v>437</v>
      </c>
      <c r="Q24" s="30" t="str">
        <f>$F$51</f>
        <v>LISTENPREIS [€]=162,AUFPREIS [€]=11.5</v>
      </c>
      <c r="R24" s="89" t="s">
        <v>40</v>
      </c>
      <c r="S24" s="17" t="str">
        <f><![CDATA[IF(AND($X$2="#43#",AND(NOT($F$23=""),NOT($F$23="-"),NOT($F$23="<NONE>"),NOT($F$23="<NULL>"))),"EP_"&VLOOKUP($F$23,$AK$1:$AM$7,3,FALSE)&"_"&VLOOKUP($F$24,$AP$1:$AR$18,3,FALSE)&"_"&VLOOKUP($F$25,$AU$1:$AW$13,3,FALSE)&"_"&VLOOKUP($F$26,$AZ$1:$BB$6,3,FALSE)&"_X00_Y00_Z00","-")]]></f>
        <v>-</v>
      </c>
      <c r="T24" s="89" t="s">
        <v>40</v>
      </c>
      <c r="U24" s="17" t="str">
        <f><![CDATA[IF(AND($X$3="#44#",AND(NOT($F$23=""),NOT($F$23="-"),NOT($F$23="<NONE>"),NOT($F$23="<NULL>"))),"EP_"&VLOOKUP($F$23,$AK$1:$AM$7,3,FALSE)&"_"&VLOOKUP($F$24,$AP$1:$AR$18,3,FALSE)&"_"&VLOOKUP($F$25,$AU$1:$AW$13,3,FALSE)&"_"&VLOOKUP($F$26,$AZ$1:$BB$6,3,FALSE)&"_X00_Y00_Z00","-")]]></f>
        <v>-</v>
      </c>
      <c r="V24" s="91" t="s">
        <v>101</v>
      </c>
      <c r="W24" s="17" t="str">
        <f>IF($X$4="#45#",IF(LEFT(F37,2)="UK","Uchwyt korby","-"),"-")</f>
        <v>-</v>
      </c>
      <c r="X24" s="20"/>
      <c r="Z24" s="16" t="s">
        <v>218</v>
      </c>
      <c r="AA24" s="16" t="s">
        <v>245</v>
      </c>
      <c r="AB24" s="16" t="s">
        <v>113</v>
      </c>
      <c r="AC24" s="47" t="s">
        <v>946</v>
      </c>
      <c r="AD24" s="47" t="s">
        <v>332</v>
      </c>
      <c r="AF24" s="19" t="s">
        <v>172</v>
      </c>
      <c r="AG24" s="19" t="s">
        <v>154</v>
      </c>
      <c r="AH24" s="71" t="s">
        <v>879</v>
      </c>
      <c r="AI24" s="72" t="s">
        <v>875</v>
      </c>
      <c r="BJ24" t="str">
        <f t="shared" si="0"/>
        <v>UK|KUR150</v>
      </c>
      <c r="BK24" t="s">
        <v>129</v>
      </c>
      <c r="BL24" t="s">
        <v>1019</v>
      </c>
      <c r="BO24" s="16" t="s">
        <v>277</v>
      </c>
      <c r="BP24" t="s">
        <v>509</v>
      </c>
      <c r="BQ24" t="s">
        <v>84</v>
      </c>
      <c r="CB24" s="54" t="s">
        <v>869</v>
      </c>
      <c r="CC24" s="67" t="s">
        <v>815</v>
      </c>
      <c r="CD24" s="64">
        <v>8022</v>
      </c>
      <c r="CE24" s="19" t="s">
        <v>188</v>
      </c>
    </row>
    <row r="25" spans="1:83" ht="15.75" thickBot="1">
      <c r="E25" s="1" t="s">
        <v>11</v>
      </c>
      <c r="F25" s="7" t="s">
        <v>444</v>
      </c>
      <c r="G25" s="7" t="s">
        <v>444</v>
      </c>
      <c r="H25" s="7" t="s">
        <v>444</v>
      </c>
      <c r="I25" s="7" t="s">
        <v>444</v>
      </c>
      <c r="J25" s="7" t="s">
        <v>1070</v>
      </c>
      <c r="K25" s="7" t="n">
        <v>0.0</v>
      </c>
      <c r="L25" s="2" t="n">
        <v>1.0</v>
      </c>
      <c r="P25" s="37" t="s">
        <v>438</v>
      </c>
      <c r="Q25" s="38" t="str">
        <f>$F$52</f>
        <v>RABATT=60.00%</v>
      </c>
      <c r="R25" s="82" t="s">
        <v>102</v>
      </c>
      <c r="S25" s="18" t="str">
        <f>IF($X$2="#43#","T","-")</f>
        <v>T</v>
      </c>
      <c r="T25" s="82" t="s">
        <v>102</v>
      </c>
      <c r="U25" s="18" t="str">
        <f>IF($X$3="#44#","T","-")</f>
        <v>-</v>
      </c>
      <c r="V25" s="89" t="s">
        <v>40</v>
      </c>
      <c r="W25" s="17" t="str">
        <f><![CDATA[IF(AND($X$4="#45#",AND(NOT($F$23=""),NOT($F$23="-"),NOT($F$23="<NONE>"),NOT($F$23="<NULL>"))),"EP_"&VLOOKUP($F$23,$AK$1:$AM$7,3,FALSE)&"_"&VLOOKUP($F$24,$AP$1:$AR$18,3,FALSE)&"_"&VLOOKUP($F$25,$AU$1:$AW$13,3,FALSE)&"_"&VLOOKUP($F$26,$AZ$1:$BB$6,3,FALSE)&"_X00_Y00_Z00","-")]]></f>
        <v>-</v>
      </c>
      <c r="X25" s="20"/>
      <c r="Z25" s="16" t="s">
        <v>219</v>
      </c>
      <c r="AA25" s="16" t="s">
        <v>245</v>
      </c>
      <c r="AB25" s="16" t="s">
        <v>113</v>
      </c>
      <c r="AC25" s="47" t="s">
        <v>946</v>
      </c>
      <c r="AD25" s="47" t="s">
        <v>332</v>
      </c>
      <c r="AF25" s="19" t="s">
        <v>171</v>
      </c>
      <c r="AG25" s="19" t="s">
        <v>190</v>
      </c>
      <c r="AH25" s="71" t="s">
        <v>882</v>
      </c>
      <c r="AI25" s="72" t="s">
        <v>878</v>
      </c>
      <c r="BJ25" t="str">
        <f t="shared" si="0"/>
        <v>UK|KUR200</v>
      </c>
      <c r="BK25" t="s">
        <v>129</v>
      </c>
      <c r="BL25" t="s">
        <v>1020</v>
      </c>
      <c r="BO25" s="16" t="s">
        <v>444</v>
      </c>
      <c r="BP25" t="s">
        <v>509</v>
      </c>
      <c r="BQ25" t="s">
        <v>84</v>
      </c>
      <c r="CB25" s="54" t="s">
        <v>859</v>
      </c>
      <c r="CC25" s="67" t="s">
        <v>817</v>
      </c>
      <c r="CD25" s="64">
        <v>7000</v>
      </c>
      <c r="CE25" s="19" t="s">
        <v>189</v>
      </c>
    </row>
    <row r="26" spans="1:83" ht="15.75" thickBot="1">
      <c r="E26" s="1" t="s">
        <v>12</v>
      </c>
      <c r="F26" s="7" t="s">
        <v>444</v>
      </c>
      <c r="G26" s="7" t="s">
        <v>444</v>
      </c>
      <c r="H26" s="7" t="s">
        <v>444</v>
      </c>
      <c r="I26" s="7" t="s">
        <v>444</v>
      </c>
      <c r="J26" s="7" t="s">
        <v>1041</v>
      </c>
      <c r="K26" s="7" t="n">
        <v>0.0</v>
      </c>
      <c r="L26" s="2" t="n">
        <v>1.0</v>
      </c>
      <c r="P26" s="78" t="s">
        <v>991</v>
      </c>
      <c r="Q26" t="str">
        <f>IF(ISERROR(FIND("#",$I$9,1)),"-",MID($I$9,FIND("#",$I$9,1)+1,20))</f>
        <v>0</v>
      </c>
      <c r="V26" s="82" t="s">
        <v>102</v>
      </c>
      <c r="W26" s="18" t="str">
        <f>IF($X$4="#45#","T","-")</f>
        <v>-</v>
      </c>
      <c r="X26" s="20"/>
      <c r="Z26" s="16" t="s">
        <v>216</v>
      </c>
      <c r="AA26" s="16" t="s">
        <v>245</v>
      </c>
      <c r="AB26" s="16" t="s">
        <v>113</v>
      </c>
      <c r="AC26" s="47" t="s">
        <v>946</v>
      </c>
      <c r="AD26" s="47" t="s">
        <v>331</v>
      </c>
      <c r="AF26" s="19" t="s">
        <v>170</v>
      </c>
      <c r="AG26" s="19" t="s">
        <v>192</v>
      </c>
      <c r="AH26" s="71" t="s">
        <v>880</v>
      </c>
      <c r="AI26" s="72" t="s">
        <v>876</v>
      </c>
      <c r="BJ26" t="str">
        <f t="shared" si="0"/>
        <v>UK|KUR250</v>
      </c>
      <c r="BK26" t="s">
        <v>129</v>
      </c>
      <c r="BL26" t="s">
        <v>1021</v>
      </c>
      <c r="CB26" s="54" t="s">
        <v>870</v>
      </c>
      <c r="CC26" s="67" t="s">
        <v>817</v>
      </c>
      <c r="CD26" s="64">
        <v>7000</v>
      </c>
      <c r="CE26" s="19" t="s">
        <v>189</v>
      </c>
    </row>
    <row r="27" spans="1:83">
      <c r="E27" s="1" t="s">
        <v>13</v>
      </c>
      <c r="F27" s="7" t="s">
        <v>444</v>
      </c>
      <c r="G27" s="7" t="s">
        <v>444</v>
      </c>
      <c r="H27" s="7" t="s">
        <v>444</v>
      </c>
      <c r="I27" s="7" t="s">
        <v>444</v>
      </c>
      <c r="J27" s="7" t="s">
        <v>1057</v>
      </c>
      <c r="K27" s="7" t="n">
        <v>0.0</v>
      </c>
      <c r="L27" s="2" t="n">
        <v>0.0</v>
      </c>
      <c r="X27" s="20"/>
      <c r="Z27" s="16" t="s">
        <v>217</v>
      </c>
      <c r="AA27" s="16" t="s">
        <v>245</v>
      </c>
      <c r="AB27" s="16" t="s">
        <v>113</v>
      </c>
      <c r="AC27" s="47" t="s">
        <v>946</v>
      </c>
      <c r="AD27" s="47" t="s">
        <v>331</v>
      </c>
      <c r="AF27" s="19" t="s">
        <v>249</v>
      </c>
      <c r="AG27" s="19" t="s">
        <v>121</v>
      </c>
      <c r="AH27" s="71" t="s">
        <v>927</v>
      </c>
      <c r="AI27" s="72" t="s">
        <v>900</v>
      </c>
      <c r="BJ27" t="str">
        <f t="shared" si="0"/>
        <v>UK|STAB125</v>
      </c>
      <c r="BK27" t="s">
        <v>130</v>
      </c>
      <c r="BL27" t="s">
        <v>370</v>
      </c>
      <c r="CB27" s="54" t="s">
        <v>860</v>
      </c>
      <c r="CC27" s="67" t="s">
        <v>816</v>
      </c>
      <c r="CD27" s="64">
        <v>7016</v>
      </c>
      <c r="CE27" s="19" t="s">
        <v>190</v>
      </c>
    </row>
    <row r="28" spans="1:83" ht="15.75" thickBot="1">
      <c r="E28" s="1" t="s">
        <v>14</v>
      </c>
      <c r="F28" s="7" t="s">
        <v>444</v>
      </c>
      <c r="G28" s="7" t="s">
        <v>444</v>
      </c>
      <c r="H28" s="7" t="s">
        <v>444</v>
      </c>
      <c r="I28" s="7" t="s">
        <v>444</v>
      </c>
      <c r="J28" s="7" t="s">
        <v>1076</v>
      </c>
      <c r="K28" s="7" t="n">
        <v>0.0</v>
      </c>
      <c r="L28" s="2" t="n">
        <v>0.0</v>
      </c>
      <c r="X28" s="20"/>
      <c r="Z28" s="76" t="s">
        <v>983</v>
      </c>
      <c r="AB28" s="16" t="s">
        <v>113</v>
      </c>
      <c r="AC28" s="47" t="s">
        <v>946</v>
      </c>
      <c r="AD28" s="47" t="s">
        <v>947</v>
      </c>
      <c r="AF28" s="19" t="s">
        <v>250</v>
      </c>
      <c r="AG28" s="19" t="s">
        <v>253</v>
      </c>
      <c r="AH28" s="71" t="s">
        <v>928</v>
      </c>
      <c r="AI28" s="72" t="s">
        <v>901</v>
      </c>
      <c r="BJ28" t="str">
        <f t="shared" si="0"/>
        <v>UK|STAB150</v>
      </c>
      <c r="BK28" t="s">
        <v>130</v>
      </c>
      <c r="BL28" t="s">
        <v>371</v>
      </c>
      <c r="BQ28" s="47" t="s">
        <v>84</v>
      </c>
      <c r="BR28" s="47" t="s">
        <v>553</v>
      </c>
      <c r="CB28" s="68" t="s">
        <v>861</v>
      </c>
      <c r="CC28" s="69" t="s">
        <v>815</v>
      </c>
      <c r="CD28" s="64">
        <v>4567</v>
      </c>
      <c r="CE28" s="19" t="s">
        <v>191</v>
      </c>
    </row>
    <row r="29" spans="1:83">
      <c r="E29" s="85" t="s">
        <v>15</v>
      </c>
      <c r="F29" s="7" t="s">
        <v>444</v>
      </c>
      <c r="G29" s="7" t="s">
        <v>444</v>
      </c>
      <c r="H29" s="7" t="s">
        <v>444</v>
      </c>
      <c r="I29" s="7" t="s">
        <v>444</v>
      </c>
      <c r="J29" s="7" t="s">
        <v>1078</v>
      </c>
      <c r="K29" s="7" t="n">
        <v>0.0</v>
      </c>
      <c r="L29" s="2" t="n">
        <v>1.0</v>
      </c>
      <c r="X29" s="20"/>
      <c r="Z29" s="76" t="s">
        <v>983</v>
      </c>
      <c r="AB29" s="16" t="s">
        <v>113</v>
      </c>
      <c r="AC29" s="47" t="s">
        <v>946</v>
      </c>
      <c r="AD29" s="47" t="s">
        <v>948</v>
      </c>
      <c r="AF29" s="19" t="s">
        <v>251</v>
      </c>
      <c r="AG29" s="19" t="s">
        <v>254</v>
      </c>
      <c r="AH29" s="71" t="s">
        <v>933</v>
      </c>
      <c r="AI29" s="72" t="s">
        <v>902</v>
      </c>
      <c r="BJ29" t="str">
        <f t="shared" si="0"/>
        <v>UK|STAB200</v>
      </c>
      <c r="BK29" t="s">
        <v>130</v>
      </c>
      <c r="BL29" t="s">
        <v>372</v>
      </c>
      <c r="BQ29" s="47" t="s">
        <v>554</v>
      </c>
      <c r="BR29" s="47" t="s">
        <v>555</v>
      </c>
    </row>
    <row r="30" spans="1:83">
      <c r="E30" s="85" t="s">
        <v>16</v>
      </c>
      <c r="F30" s="7" t="s">
        <v>444</v>
      </c>
      <c r="G30" s="7" t="s">
        <v>444</v>
      </c>
      <c r="H30" s="7" t="s">
        <v>444</v>
      </c>
      <c r="I30" s="7" t="s">
        <v>444</v>
      </c>
      <c r="J30" s="7" t="s">
        <v>1080</v>
      </c>
      <c r="K30" s="7" t="n">
        <v>0.0</v>
      </c>
      <c r="L30" s="2" t="n">
        <v>1.0</v>
      </c>
      <c r="Z30" s="76" t="s">
        <v>983</v>
      </c>
      <c r="AB30" s="16" t="s">
        <v>113</v>
      </c>
      <c r="AC30" s="47" t="s">
        <v>944</v>
      </c>
      <c r="AD30" s="47">
        <v>1</v>
      </c>
      <c r="AF30" s="19" t="s">
        <v>252</v>
      </c>
      <c r="AG30" s="19" t="s">
        <v>183</v>
      </c>
      <c r="AH30" s="71" t="s">
        <v>930</v>
      </c>
      <c r="AI30" s="72" t="s">
        <v>890</v>
      </c>
      <c r="BJ30" t="str">
        <f t="shared" si="0"/>
        <v>UK|STAB250</v>
      </c>
      <c r="BK30" t="s">
        <v>130</v>
      </c>
      <c r="BL30" t="s">
        <v>369</v>
      </c>
      <c r="BQ30" s="47" t="s">
        <v>556</v>
      </c>
      <c r="BR30" s="47" t="s">
        <v>386</v>
      </c>
    </row>
    <row r="31" spans="1:83">
      <c r="E31" s="1" t="s">
        <v>17</v>
      </c>
      <c r="F31" s="7" t="s">
        <v>444</v>
      </c>
      <c r="G31" s="7" t="s">
        <v>444</v>
      </c>
      <c r="H31" s="7" t="s">
        <v>444</v>
      </c>
      <c r="I31" s="7" t="s">
        <v>444</v>
      </c>
      <c r="J31" s="7" t="s">
        <v>1066</v>
      </c>
      <c r="K31" s="7" t="n">
        <v>0.0</v>
      </c>
      <c r="L31" s="2" t="n">
        <v>1.0</v>
      </c>
      <c r="Z31" s="76" t="s">
        <v>983</v>
      </c>
      <c r="AB31" s="16" t="s">
        <v>113</v>
      </c>
      <c r="AC31" s="47" t="s">
        <v>944</v>
      </c>
      <c r="AD31" s="47">
        <v>2</v>
      </c>
      <c r="AF31" s="41" t="s">
        <v>277</v>
      </c>
      <c r="AG31" t="s">
        <v>84</v>
      </c>
      <c r="AH31" t="s">
        <v>84</v>
      </c>
      <c r="BJ31" t="str">
        <f t="shared" si="0"/>
        <v>UK|STABG125</v>
      </c>
      <c r="BK31" t="s">
        <v>131</v>
      </c>
      <c r="BL31" t="s">
        <v>366</v>
      </c>
      <c r="BQ31" s="47" t="s">
        <v>557</v>
      </c>
      <c r="BR31" s="47" t="s">
        <v>557</v>
      </c>
    </row>
    <row r="32" spans="1:83">
      <c r="E32" s="1" t="s">
        <v>18</v>
      </c>
      <c r="F32" s="7" t="s">
        <v>444</v>
      </c>
      <c r="G32" s="7" t="s">
        <v>444</v>
      </c>
      <c r="H32" s="7" t="s">
        <v>444</v>
      </c>
      <c r="I32" s="7" t="s">
        <v>444</v>
      </c>
      <c r="J32" s="7" t="s">
        <v>1086</v>
      </c>
      <c r="K32" s="7" t="n">
        <v>0.0</v>
      </c>
      <c r="L32" s="2" t="n">
        <v>0.0</v>
      </c>
      <c r="Z32" s="16" t="s">
        <v>269</v>
      </c>
      <c r="AA32" s="16" t="s">
        <v>272</v>
      </c>
      <c r="AB32" s="16" t="s">
        <v>113</v>
      </c>
      <c r="AC32" s="47" t="s">
        <v>944</v>
      </c>
      <c r="AD32" s="47" t="s">
        <v>325</v>
      </c>
      <c r="AF32" s="41" t="s">
        <v>444</v>
      </c>
      <c r="AG32" t="s">
        <v>84</v>
      </c>
      <c r="AH32" t="s">
        <v>84</v>
      </c>
      <c r="BJ32" t="str">
        <f t="shared" si="0"/>
        <v>UK|STABG150</v>
      </c>
      <c r="BK32" t="s">
        <v>131</v>
      </c>
      <c r="BL32" t="s">
        <v>367</v>
      </c>
      <c r="BQ32" s="48" t="s">
        <v>558</v>
      </c>
      <c r="BR32" s="48" t="s">
        <v>559</v>
      </c>
    </row>
    <row r="33" spans="5:82">
      <c r="E33" s="1" t="s">
        <v>19</v>
      </c>
      <c r="F33" s="7" t="s">
        <v>444</v>
      </c>
      <c r="G33" s="7" t="s">
        <v>444</v>
      </c>
      <c r="H33" s="7" t="s">
        <v>444</v>
      </c>
      <c r="I33" s="7" t="s">
        <v>444</v>
      </c>
      <c r="J33" s="7" t="s">
        <v>1046</v>
      </c>
      <c r="K33" s="7" t="n">
        <v>0.0</v>
      </c>
      <c r="L33" s="2" t="n">
        <v>0.0</v>
      </c>
      <c r="Z33" s="16" t="s">
        <v>268</v>
      </c>
      <c r="AA33" s="16" t="s">
        <v>184</v>
      </c>
      <c r="AB33" s="16" t="s">
        <v>113</v>
      </c>
      <c r="AC33" s="47" t="s">
        <v>944</v>
      </c>
      <c r="AD33" s="47" t="s">
        <v>282</v>
      </c>
      <c r="AF33" s="41" t="s">
        <v>84</v>
      </c>
      <c r="AG33" t="s">
        <v>84</v>
      </c>
      <c r="AH33" t="s">
        <v>84</v>
      </c>
      <c r="BJ33" t="str">
        <f t="shared" si="0"/>
        <v>UK|STABG200</v>
      </c>
      <c r="BK33" t="s">
        <v>131</v>
      </c>
      <c r="BL33" t="s">
        <v>368</v>
      </c>
      <c r="BQ33" s="47" t="s">
        <v>560</v>
      </c>
      <c r="BR33" s="47" t="s">
        <v>561</v>
      </c>
    </row>
    <row r="34" spans="5:82" ht="15.75" thickBot="1">
      <c r="E34" s="1" t="s">
        <v>152</v>
      </c>
      <c r="F34" s="7" t="s">
        <v>444</v>
      </c>
      <c r="G34" s="7" t="s">
        <v>444</v>
      </c>
      <c r="H34" s="7" t="s">
        <v>444</v>
      </c>
      <c r="I34" s="7" t="s">
        <v>444</v>
      </c>
      <c r="J34" s="7" t="s">
        <v>1056</v>
      </c>
      <c r="K34" s="7" t="n">
        <v>0.0</v>
      </c>
      <c r="L34" s="2" t="n">
        <v>1.0</v>
      </c>
      <c r="Z34" s="76" t="s">
        <v>983</v>
      </c>
      <c r="AB34" s="16" t="s">
        <v>113</v>
      </c>
      <c r="AC34" s="47" t="s">
        <v>943</v>
      </c>
      <c r="AD34" s="47">
        <v>1</v>
      </c>
      <c r="AH34" s="47" t="s">
        <v>552</v>
      </c>
      <c r="BJ34" t="str">
        <f t="shared" si="0"/>
        <v>UK|STABG250</v>
      </c>
      <c r="BK34" t="s">
        <v>131</v>
      </c>
      <c r="BL34" t="s">
        <v>365</v>
      </c>
      <c r="BQ34" s="47" t="s">
        <v>407</v>
      </c>
      <c r="BR34" s="47" t="s">
        <v>562</v>
      </c>
      <c r="CA34">
        <v>2019</v>
      </c>
      <c r="CC34">
        <v>2021</v>
      </c>
    </row>
    <row r="35" spans="5:82" ht="15.75" thickBot="1">
      <c r="E35" s="1" t="s">
        <v>20</v>
      </c>
      <c r="F35" s="7" t="s">
        <v>412</v>
      </c>
      <c r="G35" s="7" t="s">
        <v>1089</v>
      </c>
      <c r="H35" s="7" t="s">
        <v>444</v>
      </c>
      <c r="I35" s="7" t="s">
        <v>444</v>
      </c>
      <c r="J35" s="7" t="s">
        <v>1065</v>
      </c>
      <c r="K35" s="7" t="n">
        <v>1.0</v>
      </c>
      <c r="L35" s="2" t="n">
        <v>1.0</v>
      </c>
      <c r="Z35" s="16" t="s">
        <v>267</v>
      </c>
      <c r="AA35" s="16" t="s">
        <v>272</v>
      </c>
      <c r="AB35" s="16" t="s">
        <v>113</v>
      </c>
      <c r="AC35" s="47" t="s">
        <v>943</v>
      </c>
      <c r="AD35" s="47">
        <v>2</v>
      </c>
      <c r="AH35" s="47"/>
      <c r="BJ35" t="str">
        <f t="shared" si="0"/>
        <v>UK|STABGSLC125</v>
      </c>
      <c r="BK35" t="s">
        <v>131</v>
      </c>
      <c r="BL35" s="16" t="s">
        <v>1013</v>
      </c>
      <c r="BQ35" s="47">
        <v>19000</v>
      </c>
      <c r="BR35" s="47" t="s">
        <v>563</v>
      </c>
      <c r="CA35" s="50" t="s">
        <v>96</v>
      </c>
      <c r="CB35" s="50" t="s">
        <v>812</v>
      </c>
      <c r="CC35" s="50" t="s">
        <v>96</v>
      </c>
      <c r="CD35" s="50" t="s">
        <v>812</v>
      </c>
    </row>
    <row r="36" spans="5:82">
      <c r="E36" s="1" t="s">
        <v>125</v>
      </c>
      <c r="F36" s="7" t="s">
        <v>444</v>
      </c>
      <c r="G36" s="7" t="s">
        <v>444</v>
      </c>
      <c r="H36" s="7" t="s">
        <v>444</v>
      </c>
      <c r="I36" s="7" t="s">
        <v>444</v>
      </c>
      <c r="J36" s="7" t="s">
        <v>1072</v>
      </c>
      <c r="K36" s="7" t="n">
        <v>0.0</v>
      </c>
      <c r="L36" s="2" t="n">
        <v>1.0</v>
      </c>
      <c r="Z36" s="16" t="s">
        <v>266</v>
      </c>
      <c r="AA36" s="16" t="s">
        <v>272</v>
      </c>
      <c r="AB36" s="16" t="s">
        <v>113</v>
      </c>
      <c r="AC36" s="47" t="s">
        <v>943</v>
      </c>
      <c r="AD36" s="47" t="s">
        <v>320</v>
      </c>
      <c r="BJ36" t="str">
        <f t="shared" si="0"/>
        <v>UK|STABGSLC150</v>
      </c>
      <c r="BK36" t="s">
        <v>131</v>
      </c>
      <c r="BL36" s="16" t="s">
        <v>1014</v>
      </c>
      <c r="BQ36" s="47" t="s">
        <v>564</v>
      </c>
      <c r="BR36" s="47" t="s">
        <v>565</v>
      </c>
      <c r="CA36" s="47" t="s">
        <v>84</v>
      </c>
      <c r="CB36" s="47" t="s">
        <v>802</v>
      </c>
    </row>
    <row r="37" spans="5:82">
      <c r="E37" s="1" t="s">
        <v>21</v>
      </c>
      <c r="F37" s="7" t="s">
        <v>277</v>
      </c>
      <c r="G37" s="7" t="s">
        <v>1047</v>
      </c>
      <c r="H37" s="7" t="s">
        <v>444</v>
      </c>
      <c r="I37" s="7" t="s">
        <v>444</v>
      </c>
      <c r="J37" s="7" t="s">
        <v>1048</v>
      </c>
      <c r="K37" s="7" t="n">
        <v>1.0</v>
      </c>
      <c r="L37" s="2" t="n">
        <v>1.0</v>
      </c>
      <c r="Z37" s="76" t="s">
        <v>983</v>
      </c>
      <c r="AB37" s="16" t="s">
        <v>113</v>
      </c>
      <c r="AC37" s="47" t="s">
        <v>943</v>
      </c>
      <c r="AD37" s="47" t="s">
        <v>938</v>
      </c>
      <c r="BJ37" t="str">
        <f t="shared" si="0"/>
        <v>UK|STABGSLC200</v>
      </c>
      <c r="BK37" t="s">
        <v>131</v>
      </c>
      <c r="BL37" s="16" t="s">
        <v>1015</v>
      </c>
      <c r="BQ37" s="47" t="s">
        <v>566</v>
      </c>
      <c r="BR37" s="47" t="s">
        <v>567</v>
      </c>
      <c r="CA37" s="51">
        <v>300101</v>
      </c>
      <c r="CB37" s="51" t="s">
        <v>806</v>
      </c>
      <c r="CC37" s="47">
        <v>303020</v>
      </c>
      <c r="CD37" s="51" t="s">
        <v>819</v>
      </c>
    </row>
    <row r="38" spans="5:82">
      <c r="E38" s="1" t="s">
        <v>22</v>
      </c>
      <c r="F38" s="7" t="n">
        <v>1.0</v>
      </c>
      <c r="G38" s="7" t="s">
        <v>444</v>
      </c>
      <c r="H38" s="7" t="s">
        <v>444</v>
      </c>
      <c r="I38" s="7" t="s">
        <v>444</v>
      </c>
      <c r="J38" s="7" t="s">
        <v>1071</v>
      </c>
      <c r="K38" s="7" t="n">
        <v>1.0</v>
      </c>
      <c r="L38" s="2" t="n">
        <v>0.0</v>
      </c>
      <c r="Z38" s="16" t="s">
        <v>265</v>
      </c>
      <c r="AA38" s="16" t="s">
        <v>272</v>
      </c>
      <c r="AB38" s="16" t="s">
        <v>113</v>
      </c>
      <c r="AC38" s="47" t="s">
        <v>943</v>
      </c>
      <c r="AD38" s="47" t="s">
        <v>317</v>
      </c>
      <c r="BJ38" t="str">
        <f t="shared" si="0"/>
        <v>UK|STABGSLC250</v>
      </c>
      <c r="BK38" t="s">
        <v>131</v>
      </c>
      <c r="BL38" s="16" t="s">
        <v>1016</v>
      </c>
      <c r="BQ38" s="47" t="s">
        <v>568</v>
      </c>
      <c r="BR38" s="47" t="s">
        <v>569</v>
      </c>
      <c r="CA38" s="51">
        <v>300103</v>
      </c>
      <c r="CB38" s="51" t="s">
        <v>814</v>
      </c>
      <c r="CC38" s="47">
        <v>303003</v>
      </c>
      <c r="CD38" s="47" t="s">
        <v>820</v>
      </c>
    </row>
    <row r="39" spans="5:82">
      <c r="E39" s="86" t="s">
        <v>181</v>
      </c>
      <c r="F39" s="7" t="s">
        <v>444</v>
      </c>
      <c r="G39" s="7" t="s">
        <v>444</v>
      </c>
      <c r="H39" s="7" t="s">
        <v>444</v>
      </c>
      <c r="I39" s="7" t="s">
        <v>444</v>
      </c>
      <c r="J39" s="7" t="s">
        <v>1054</v>
      </c>
      <c r="K39" s="7" t="n">
        <v>0.0</v>
      </c>
      <c r="L39" s="2" t="n">
        <v>0.0</v>
      </c>
      <c r="Z39" s="16" t="s">
        <v>264</v>
      </c>
      <c r="AA39" s="16" t="s">
        <v>272</v>
      </c>
      <c r="AB39" s="16" t="s">
        <v>113</v>
      </c>
      <c r="AC39" s="47" t="s">
        <v>943</v>
      </c>
      <c r="AD39" s="47" t="s">
        <v>318</v>
      </c>
      <c r="AH39" s="47" t="s">
        <v>122</v>
      </c>
      <c r="AI39" s="47" t="s">
        <v>123</v>
      </c>
      <c r="BQ39" s="47" t="s">
        <v>290</v>
      </c>
      <c r="BR39" s="47" t="s">
        <v>570</v>
      </c>
      <c r="CA39" s="51">
        <v>300106</v>
      </c>
      <c r="CB39" s="51" t="s">
        <v>807</v>
      </c>
      <c r="CC39" s="47">
        <v>303005</v>
      </c>
      <c r="CD39" s="47" t="s">
        <v>821</v>
      </c>
    </row>
    <row r="40" spans="5:82">
      <c r="E40" s="86" t="s">
        <v>182</v>
      </c>
      <c r="F40" s="7" t="s">
        <v>444</v>
      </c>
      <c r="G40" s="7" t="s">
        <v>444</v>
      </c>
      <c r="H40" s="7" t="s">
        <v>444</v>
      </c>
      <c r="I40" s="7" t="s">
        <v>444</v>
      </c>
      <c r="J40" s="7" t="s">
        <v>1052</v>
      </c>
      <c r="K40" s="7" t="n">
        <v>0.0</v>
      </c>
      <c r="L40" s="2" t="n">
        <v>0.0</v>
      </c>
      <c r="Z40" s="76" t="s">
        <v>983</v>
      </c>
      <c r="AB40" s="16" t="s">
        <v>113</v>
      </c>
      <c r="AC40" s="47" t="s">
        <v>943</v>
      </c>
      <c r="AD40" s="47" t="s">
        <v>319</v>
      </c>
      <c r="AH40" s="47" t="s">
        <v>763</v>
      </c>
      <c r="AI40" s="47" t="s">
        <v>551</v>
      </c>
      <c r="BQ40" s="47" t="s">
        <v>571</v>
      </c>
      <c r="BR40" s="47" t="s">
        <v>572</v>
      </c>
      <c r="CC40" s="47">
        <v>303024</v>
      </c>
      <c r="CD40" s="47" t="s">
        <v>822</v>
      </c>
    </row>
    <row r="41" spans="5:82">
      <c r="E41" s="1" t="s">
        <v>23</v>
      </c>
      <c r="F41" s="8" t="n">
        <v>162.0</v>
      </c>
      <c r="G41" s="7" t="s">
        <v>444</v>
      </c>
      <c r="H41" s="7" t="s">
        <v>444</v>
      </c>
      <c r="I41" s="7" t="s">
        <v>444</v>
      </c>
      <c r="J41" s="7" t="s">
        <v>1045</v>
      </c>
      <c r="K41" s="7" t="n">
        <v>1.0</v>
      </c>
      <c r="L41" s="2" t="n">
        <v>0.0</v>
      </c>
      <c r="Z41" s="16" t="s">
        <v>278</v>
      </c>
      <c r="AA41" s="16" t="s">
        <v>196</v>
      </c>
      <c r="AB41" s="16" t="s">
        <v>113</v>
      </c>
      <c r="AC41" s="47" t="s">
        <v>112</v>
      </c>
      <c r="AD41" s="47">
        <v>1</v>
      </c>
      <c r="AH41" s="47" t="s">
        <v>764</v>
      </c>
      <c r="AI41" s="47" t="s">
        <v>934</v>
      </c>
      <c r="BQ41" s="47" t="s">
        <v>573</v>
      </c>
      <c r="BR41" s="47" t="s">
        <v>574</v>
      </c>
      <c r="CC41" s="47">
        <v>303026</v>
      </c>
      <c r="CD41" s="47" t="s">
        <v>823</v>
      </c>
    </row>
    <row r="42" spans="5:82">
      <c r="E42" s="1" t="s">
        <v>24</v>
      </c>
      <c r="F42" s="8" t="n">
        <v>11.5</v>
      </c>
      <c r="G42" s="7" t="s">
        <v>444</v>
      </c>
      <c r="H42" s="7" t="s">
        <v>444</v>
      </c>
      <c r="I42" s="7" t="s">
        <v>444</v>
      </c>
      <c r="J42" s="7" t="s">
        <v>1051</v>
      </c>
      <c r="K42" s="7" t="n">
        <v>1.0</v>
      </c>
      <c r="L42" s="2" t="n">
        <v>0.0</v>
      </c>
      <c r="Z42" s="16" t="s">
        <v>111</v>
      </c>
      <c r="AA42" s="16" t="s">
        <v>196</v>
      </c>
      <c r="AB42" s="16" t="s">
        <v>113</v>
      </c>
      <c r="AC42" s="47" t="s">
        <v>112</v>
      </c>
      <c r="AD42" s="47">
        <v>2</v>
      </c>
      <c r="AH42" s="47" t="s">
        <v>552</v>
      </c>
      <c r="AI42" s="47" t="s">
        <v>905</v>
      </c>
      <c r="BQ42" s="47" t="s">
        <v>575</v>
      </c>
      <c r="BR42" s="47" t="s">
        <v>576</v>
      </c>
      <c r="CA42" s="51">
        <v>300201</v>
      </c>
      <c r="CB42" s="51" t="s">
        <v>810</v>
      </c>
    </row>
    <row r="43" spans="5:82">
      <c r="E43" s="1" t="s">
        <v>25</v>
      </c>
      <c r="F43" s="8" t="n">
        <v>0.0</v>
      </c>
      <c r="G43" s="7" t="s">
        <v>444</v>
      </c>
      <c r="H43" s="7" t="s">
        <v>444</v>
      </c>
      <c r="I43" s="7" t="s">
        <v>444</v>
      </c>
      <c r="J43" s="7" t="s">
        <v>1050</v>
      </c>
      <c r="K43" s="7" t="n">
        <v>0.0</v>
      </c>
      <c r="L43" s="2" t="n">
        <v>0.0</v>
      </c>
      <c r="Z43" s="16" t="s">
        <v>279</v>
      </c>
      <c r="AA43" s="16" t="s">
        <v>201</v>
      </c>
      <c r="AB43" s="16" t="s">
        <v>113</v>
      </c>
      <c r="AC43" s="47" t="s">
        <v>112</v>
      </c>
      <c r="AD43" s="47">
        <v>3</v>
      </c>
      <c r="AH43" s="47" t="s">
        <v>935</v>
      </c>
      <c r="AI43" s="47" t="s">
        <v>936</v>
      </c>
      <c r="BQ43" s="47" t="s">
        <v>577</v>
      </c>
      <c r="BR43" s="47" t="s">
        <v>578</v>
      </c>
      <c r="CA43" s="51">
        <v>300203</v>
      </c>
      <c r="CB43" s="51" t="s">
        <v>813</v>
      </c>
    </row>
    <row r="44" spans="5:82">
      <c r="E44" s="1" t="s">
        <v>26</v>
      </c>
      <c r="F44" s="8" t="n">
        <v>173.5</v>
      </c>
      <c r="G44" s="7" t="s">
        <v>444</v>
      </c>
      <c r="H44" s="7" t="s">
        <v>444</v>
      </c>
      <c r="I44" s="7" t="s">
        <v>444</v>
      </c>
      <c r="J44" s="7" t="s">
        <v>1044</v>
      </c>
      <c r="K44" s="7" t="n">
        <v>1.0</v>
      </c>
      <c r="L44" s="2" t="n">
        <v>0.0</v>
      </c>
      <c r="Z44" s="16" t="s">
        <v>207</v>
      </c>
      <c r="AA44" s="16" t="s">
        <v>236</v>
      </c>
      <c r="AB44" s="16" t="s">
        <v>113</v>
      </c>
      <c r="AC44" s="47" t="s">
        <v>112</v>
      </c>
      <c r="AD44" s="47">
        <v>4</v>
      </c>
      <c r="AH44" s="47" t="s">
        <v>765</v>
      </c>
      <c r="AI44" s="47" t="s">
        <v>937</v>
      </c>
      <c r="BQ44" s="47" t="s">
        <v>579</v>
      </c>
      <c r="BR44" s="47" t="s">
        <v>580</v>
      </c>
      <c r="CA44" s="51">
        <v>300206</v>
      </c>
      <c r="CB44" s="51" t="s">
        <v>811</v>
      </c>
    </row>
    <row r="45" spans="5:82">
      <c r="E45" s="1" t="s">
        <v>27</v>
      </c>
      <c r="F45" s="7" t="n">
        <v>173.5</v>
      </c>
      <c r="G45" s="7" t="s">
        <v>444</v>
      </c>
      <c r="H45" s="7" t="s">
        <v>444</v>
      </c>
      <c r="I45" s="7" t="s">
        <v>444</v>
      </c>
      <c r="J45" s="7" t="s">
        <v>1081</v>
      </c>
      <c r="K45" s="7" t="n">
        <v>1.0</v>
      </c>
      <c r="L45" s="2" t="n">
        <v>0.0</v>
      </c>
      <c r="Z45" s="16" t="s">
        <v>208</v>
      </c>
      <c r="AA45" s="16" t="s">
        <v>236</v>
      </c>
      <c r="AB45" s="16" t="s">
        <v>113</v>
      </c>
      <c r="AC45" s="47" t="s">
        <v>112</v>
      </c>
      <c r="AD45" s="47">
        <v>4</v>
      </c>
      <c r="AH45" s="47" t="s">
        <v>909</v>
      </c>
      <c r="AI45" s="47" t="s">
        <v>906</v>
      </c>
      <c r="BQ45" s="47" t="s">
        <v>581</v>
      </c>
      <c r="BR45" s="47" t="s">
        <v>582</v>
      </c>
    </row>
    <row r="46" spans="5:82">
      <c r="E46" s="1" t="s">
        <v>28</v>
      </c>
      <c r="F46" s="8" t="n">
        <v>0.6</v>
      </c>
      <c r="G46" s="7" t="s">
        <v>444</v>
      </c>
      <c r="H46" s="7" t="s">
        <v>444</v>
      </c>
      <c r="I46" s="7" t="s">
        <v>444</v>
      </c>
      <c r="J46" s="7" t="s">
        <v>1043</v>
      </c>
      <c r="K46" s="7" t="n">
        <v>0.0</v>
      </c>
      <c r="L46" s="2" t="n">
        <v>0.0</v>
      </c>
      <c r="Z46" s="16" t="s">
        <v>211</v>
      </c>
      <c r="AA46" s="16" t="s">
        <v>236</v>
      </c>
      <c r="AB46" s="16" t="s">
        <v>113</v>
      </c>
      <c r="AC46" s="47" t="s">
        <v>112</v>
      </c>
      <c r="AD46" s="47">
        <v>5</v>
      </c>
      <c r="AH46" s="47" t="s">
        <v>907</v>
      </c>
      <c r="AI46" s="47" t="s">
        <v>908</v>
      </c>
      <c r="BQ46" s="47" t="s">
        <v>583</v>
      </c>
      <c r="BR46" s="47" t="s">
        <v>584</v>
      </c>
      <c r="CA46" s="47">
        <v>310101</v>
      </c>
      <c r="CB46" s="51" t="s">
        <v>808</v>
      </c>
      <c r="CC46" s="47">
        <v>804920</v>
      </c>
      <c r="CD46" s="51" t="s">
        <v>824</v>
      </c>
    </row>
    <row r="47" spans="5:82">
      <c r="E47" s="1" t="s">
        <v>29</v>
      </c>
      <c r="F47" s="7" t="n">
        <v>0.0</v>
      </c>
      <c r="G47" s="7" t="s">
        <v>444</v>
      </c>
      <c r="H47" s="7" t="s">
        <v>444</v>
      </c>
      <c r="I47" s="7" t="s">
        <v>444</v>
      </c>
      <c r="J47" s="7" t="s">
        <v>1049</v>
      </c>
      <c r="K47" s="7" t="n">
        <v>0.0</v>
      </c>
      <c r="L47" s="2" t="n">
        <v>0.0</v>
      </c>
      <c r="Z47" s="16" t="s">
        <v>212</v>
      </c>
      <c r="AA47" s="16" t="s">
        <v>236</v>
      </c>
      <c r="AB47" s="16" t="s">
        <v>113</v>
      </c>
      <c r="AC47" s="47" t="s">
        <v>112</v>
      </c>
      <c r="AD47" s="47">
        <v>5</v>
      </c>
      <c r="AH47" s="47" t="s">
        <v>920</v>
      </c>
      <c r="AI47" s="47" t="s">
        <v>916</v>
      </c>
      <c r="BQ47" s="47" t="s">
        <v>585</v>
      </c>
      <c r="BR47" s="47" t="s">
        <v>586</v>
      </c>
      <c r="CA47" s="47">
        <v>310103</v>
      </c>
      <c r="CB47" s="51" t="s">
        <v>801</v>
      </c>
      <c r="CC47" s="47">
        <v>804903</v>
      </c>
      <c r="CD47" s="47" t="s">
        <v>825</v>
      </c>
    </row>
    <row r="48" spans="5:82">
      <c r="E48" s="1" t="s">
        <v>30</v>
      </c>
      <c r="F48" s="8" t="n">
        <v>69.4</v>
      </c>
      <c r="G48" s="7" t="s">
        <v>444</v>
      </c>
      <c r="H48" s="7" t="s">
        <v>444</v>
      </c>
      <c r="I48" s="7" t="s">
        <v>444</v>
      </c>
      <c r="J48" s="7" t="s">
        <v>1042</v>
      </c>
      <c r="K48" s="7" t="n">
        <v>0.0</v>
      </c>
      <c r="L48" s="2" t="n">
        <v>0.0</v>
      </c>
      <c r="Z48" s="16" t="s">
        <v>299</v>
      </c>
      <c r="AA48" s="16" t="s">
        <v>236</v>
      </c>
      <c r="AB48" s="16" t="s">
        <v>113</v>
      </c>
      <c r="AC48" s="47" t="s">
        <v>112</v>
      </c>
      <c r="AD48" s="47">
        <v>6</v>
      </c>
      <c r="AH48" s="47" t="s">
        <v>921</v>
      </c>
      <c r="AI48" s="47" t="s">
        <v>917</v>
      </c>
      <c r="BQ48" s="47" t="s">
        <v>587</v>
      </c>
      <c r="BR48" s="47" t="s">
        <v>588</v>
      </c>
      <c r="CA48" s="47">
        <v>310106</v>
      </c>
      <c r="CB48" s="51" t="s">
        <v>809</v>
      </c>
      <c r="CC48" s="47">
        <v>804905</v>
      </c>
      <c r="CD48" s="47" t="s">
        <v>826</v>
      </c>
    </row>
    <row r="49" spans="5:82">
      <c r="E49" s="1" t="s">
        <v>31</v>
      </c>
      <c r="F49" s="79" t="n">
        <v>69.4</v>
      </c>
      <c r="G49" s="79" t="s">
        <v>444</v>
      </c>
      <c r="H49" s="7" t="s">
        <v>444</v>
      </c>
      <c r="I49" s="7" t="s">
        <v>444</v>
      </c>
      <c r="J49" s="7" t="s">
        <v>1083</v>
      </c>
      <c r="K49" s="7" t="n">
        <v>0.0</v>
      </c>
      <c r="L49" s="2" t="n">
        <v>0.0</v>
      </c>
      <c r="Z49" s="76" t="s">
        <v>983</v>
      </c>
      <c r="AB49" s="16" t="s">
        <v>113</v>
      </c>
      <c r="AC49" s="47" t="s">
        <v>112</v>
      </c>
      <c r="AD49" s="47">
        <v>7</v>
      </c>
      <c r="AH49" s="47" t="s">
        <v>922</v>
      </c>
      <c r="AI49" s="47" t="s">
        <v>918</v>
      </c>
      <c r="BQ49" s="47" t="s">
        <v>589</v>
      </c>
      <c r="BR49" s="47" t="s">
        <v>590</v>
      </c>
      <c r="CC49" s="47">
        <v>804924</v>
      </c>
      <c r="CD49" s="47" t="s">
        <v>827</v>
      </c>
    </row>
    <row r="50" spans="5:82">
      <c r="E50" s="1" t="s">
        <v>423</v>
      </c>
      <c r="F50" s="79" t="s">
        <v>1091</v>
      </c>
      <c r="G50" s="79" t="s">
        <v>444</v>
      </c>
      <c r="H50" s="7" t="s">
        <v>444</v>
      </c>
      <c r="I50" s="7" t="s">
        <v>444</v>
      </c>
      <c r="J50" s="7" t="s">
        <v>423</v>
      </c>
      <c r="K50" s="7" t="n">
        <v>0.0</v>
      </c>
      <c r="L50" s="2" t="n">
        <v>0.0</v>
      </c>
      <c r="Z50" s="76" t="s">
        <v>983</v>
      </c>
      <c r="AB50" s="16" t="s">
        <v>113</v>
      </c>
      <c r="AC50" s="47" t="s">
        <v>112</v>
      </c>
      <c r="AD50" s="47">
        <v>8</v>
      </c>
      <c r="AH50" s="47" t="s">
        <v>923</v>
      </c>
      <c r="AI50" s="47" t="s">
        <v>919</v>
      </c>
      <c r="BQ50" s="47" t="s">
        <v>591</v>
      </c>
      <c r="BR50" s="47" t="s">
        <v>592</v>
      </c>
      <c r="CC50" s="47">
        <v>804926</v>
      </c>
      <c r="CD50" s="47" t="s">
        <v>828</v>
      </c>
    </row>
    <row r="51" spans="5:82">
      <c r="E51" s="1" t="s">
        <v>992</v>
      </c>
      <c r="F51" s="7" t="s">
        <v>1090</v>
      </c>
      <c r="G51" s="7" t="s">
        <v>444</v>
      </c>
      <c r="H51" s="7" t="s">
        <v>444</v>
      </c>
      <c r="I51" s="7" t="s">
        <v>444</v>
      </c>
      <c r="J51" s="7" t="s">
        <v>992</v>
      </c>
      <c r="K51" s="7" t="n">
        <v>0.0</v>
      </c>
      <c r="L51" s="2" t="n">
        <v>0.0</v>
      </c>
      <c r="Z51" s="76" t="s">
        <v>983</v>
      </c>
      <c r="AB51" s="16" t="s">
        <v>113</v>
      </c>
      <c r="AC51" s="47" t="s">
        <v>112</v>
      </c>
      <c r="AD51" s="47">
        <v>9</v>
      </c>
      <c r="AH51" s="47" t="s">
        <v>924</v>
      </c>
      <c r="AI51" s="47" t="s">
        <v>911</v>
      </c>
      <c r="BQ51" s="47" t="s">
        <v>593</v>
      </c>
      <c r="BR51" s="47" t="s">
        <v>594</v>
      </c>
    </row>
    <row r="52" spans="5:82" ht="15.75" thickBot="1">
      <c r="E52" s="82" t="s">
        <v>993</v>
      </c>
      <c r="F52" s="25" t="s">
        <v>1069</v>
      </c>
      <c r="G52" s="25" t="s">
        <v>444</v>
      </c>
      <c r="H52" s="25" t="s">
        <v>444</v>
      </c>
      <c r="I52" s="25" t="s">
        <v>444</v>
      </c>
      <c r="J52" s="25" t="s">
        <v>993</v>
      </c>
      <c r="K52" s="25" t="n">
        <v>0.0</v>
      </c>
      <c r="L52" s="6" t="n">
        <v>0.0</v>
      </c>
      <c r="Z52" s="76" t="s">
        <v>983</v>
      </c>
      <c r="AB52" s="16" t="s">
        <v>113</v>
      </c>
      <c r="AC52" s="47" t="s">
        <v>112</v>
      </c>
      <c r="AD52" s="47">
        <v>10</v>
      </c>
      <c r="AH52" s="47" t="s">
        <v>925</v>
      </c>
      <c r="AI52" s="47" t="s">
        <v>912</v>
      </c>
      <c r="BQ52" s="47" t="s">
        <v>595</v>
      </c>
      <c r="BR52" s="47" t="s">
        <v>596</v>
      </c>
    </row>
    <row r="53" spans="5:82">
      <c r="E53"/>
      <c r="Z53" s="76" t="s">
        <v>983</v>
      </c>
      <c r="AB53" s="16" t="s">
        <v>113</v>
      </c>
      <c r="AC53" s="47" t="s">
        <v>112</v>
      </c>
      <c r="AD53" s="47" t="s">
        <v>962</v>
      </c>
      <c r="AH53" s="47" t="s">
        <v>910</v>
      </c>
      <c r="AI53" s="47" t="s">
        <v>914</v>
      </c>
      <c r="BQ53" s="47" t="s">
        <v>597</v>
      </c>
      <c r="BR53" s="47" t="s">
        <v>598</v>
      </c>
    </row>
    <row r="54" spans="5:82">
      <c r="Z54" s="76" t="s">
        <v>983</v>
      </c>
      <c r="AB54" s="16" t="s">
        <v>113</v>
      </c>
      <c r="AC54" s="47" t="s">
        <v>112</v>
      </c>
      <c r="AD54" s="47" t="s">
        <v>979</v>
      </c>
      <c r="AH54" s="47" t="s">
        <v>926</v>
      </c>
      <c r="AI54" s="47" t="s">
        <v>915</v>
      </c>
      <c r="BQ54" s="47" t="s">
        <v>599</v>
      </c>
      <c r="BR54" s="47" t="s">
        <v>600</v>
      </c>
    </row>
    <row r="55" spans="5:82">
      <c r="Z55" s="76" t="s">
        <v>983</v>
      </c>
      <c r="AB55" s="16" t="s">
        <v>113</v>
      </c>
      <c r="AC55" s="47" t="s">
        <v>112</v>
      </c>
      <c r="AD55" s="47" t="s">
        <v>976</v>
      </c>
      <c r="AH55" s="71" t="s">
        <v>927</v>
      </c>
      <c r="AI55" s="72" t="s">
        <v>900</v>
      </c>
      <c r="BQ55" s="47" t="s">
        <v>601</v>
      </c>
      <c r="BR55" s="47" t="s">
        <v>602</v>
      </c>
    </row>
    <row r="56" spans="5:82">
      <c r="Z56" s="76" t="s">
        <v>983</v>
      </c>
      <c r="AB56" s="16" t="s">
        <v>113</v>
      </c>
      <c r="AC56" s="47" t="s">
        <v>112</v>
      </c>
      <c r="AD56" s="47" t="s">
        <v>951</v>
      </c>
      <c r="AH56" s="71" t="s">
        <v>928</v>
      </c>
      <c r="AI56" s="72" t="s">
        <v>901</v>
      </c>
      <c r="BQ56" s="47" t="s">
        <v>603</v>
      </c>
      <c r="BR56" s="47" t="s">
        <v>604</v>
      </c>
    </row>
    <row r="57" spans="5:82">
      <c r="Z57" s="16" t="s">
        <v>262</v>
      </c>
      <c r="AA57" s="16" t="s">
        <v>201</v>
      </c>
      <c r="AB57" s="16" t="s">
        <v>113</v>
      </c>
      <c r="AC57" s="47" t="s">
        <v>112</v>
      </c>
      <c r="AD57" s="47" t="s">
        <v>958</v>
      </c>
      <c r="AH57" s="71" t="s">
        <v>933</v>
      </c>
      <c r="AI57" s="72" t="s">
        <v>902</v>
      </c>
      <c r="BQ57" s="47" t="s">
        <v>605</v>
      </c>
      <c r="BR57" s="47" t="s">
        <v>606</v>
      </c>
      <c r="CA57" s="51" t="s">
        <v>803</v>
      </c>
      <c r="CB57" s="51" t="s">
        <v>803</v>
      </c>
    </row>
    <row r="58" spans="5:82">
      <c r="Z58" s="16" t="s">
        <v>261</v>
      </c>
      <c r="AA58" s="16" t="s">
        <v>202</v>
      </c>
      <c r="AB58" s="16" t="s">
        <v>113</v>
      </c>
      <c r="AC58" s="47" t="s">
        <v>112</v>
      </c>
      <c r="AD58" s="47" t="s">
        <v>977</v>
      </c>
      <c r="AH58" s="71" t="s">
        <v>929</v>
      </c>
      <c r="AI58" s="72" t="s">
        <v>889</v>
      </c>
      <c r="BQ58" s="47" t="s">
        <v>607</v>
      </c>
      <c r="BR58" s="47" t="s">
        <v>608</v>
      </c>
      <c r="CA58" s="51" t="s">
        <v>804</v>
      </c>
      <c r="CB58" s="51" t="s">
        <v>804</v>
      </c>
    </row>
    <row r="59" spans="5:82">
      <c r="Z59" s="16" t="s">
        <v>315</v>
      </c>
      <c r="AA59" s="16" t="s">
        <v>203</v>
      </c>
      <c r="AB59" s="16" t="s">
        <v>113</v>
      </c>
      <c r="AC59" s="47" t="s">
        <v>112</v>
      </c>
      <c r="AD59" s="47" t="s">
        <v>964</v>
      </c>
      <c r="AH59" s="71" t="s">
        <v>930</v>
      </c>
      <c r="AI59" s="72" t="s">
        <v>890</v>
      </c>
      <c r="BQ59" s="47" t="s">
        <v>609</v>
      </c>
      <c r="BR59" s="47" t="s">
        <v>610</v>
      </c>
      <c r="CA59" s="51" t="s">
        <v>834</v>
      </c>
      <c r="CB59" s="51" t="s">
        <v>834</v>
      </c>
    </row>
    <row r="60" spans="5:82">
      <c r="Z60" s="76" t="s">
        <v>983</v>
      </c>
      <c r="AB60" s="16" t="s">
        <v>113</v>
      </c>
      <c r="AC60" s="47" t="s">
        <v>112</v>
      </c>
      <c r="AD60" s="47" t="s">
        <v>945</v>
      </c>
      <c r="AH60" s="71" t="s">
        <v>931</v>
      </c>
      <c r="AI60" s="72" t="s">
        <v>891</v>
      </c>
      <c r="BQ60" s="47" t="s">
        <v>611</v>
      </c>
      <c r="BR60" s="47" t="s">
        <v>612</v>
      </c>
      <c r="CA60" s="51" t="s">
        <v>805</v>
      </c>
      <c r="CB60" s="51" t="s">
        <v>805</v>
      </c>
    </row>
    <row r="61" spans="5:82">
      <c r="Z61" s="16" t="s">
        <v>294</v>
      </c>
      <c r="AA61" s="16" t="s">
        <v>185</v>
      </c>
      <c r="AB61" s="16" t="s">
        <v>113</v>
      </c>
      <c r="AC61" s="47" t="s">
        <v>112</v>
      </c>
      <c r="AD61" s="47" t="s">
        <v>322</v>
      </c>
      <c r="AH61" s="71" t="s">
        <v>904</v>
      </c>
      <c r="AI61" s="72" t="s">
        <v>913</v>
      </c>
      <c r="BQ61" s="47" t="s">
        <v>613</v>
      </c>
      <c r="BR61" s="47" t="s">
        <v>614</v>
      </c>
      <c r="CA61" s="47" t="s">
        <v>818</v>
      </c>
      <c r="CB61" s="51" t="s">
        <v>835</v>
      </c>
    </row>
    <row r="62" spans="5:82">
      <c r="Z62" s="76" t="s">
        <v>983</v>
      </c>
      <c r="AB62" s="16" t="s">
        <v>113</v>
      </c>
      <c r="AC62" s="47" t="s">
        <v>112</v>
      </c>
      <c r="AD62" s="47" t="s">
        <v>942</v>
      </c>
      <c r="AH62" s="72" t="s">
        <v>932</v>
      </c>
      <c r="AI62" s="72" t="s">
        <v>903</v>
      </c>
      <c r="BQ62" s="47" t="s">
        <v>615</v>
      </c>
      <c r="BR62" s="47" t="s">
        <v>616</v>
      </c>
      <c r="CA62" s="47" t="s">
        <v>817</v>
      </c>
      <c r="CB62" s="47" t="s">
        <v>836</v>
      </c>
    </row>
    <row r="63" spans="5:82">
      <c r="Z63" s="16" t="s">
        <v>296</v>
      </c>
      <c r="AA63" s="16" t="s">
        <v>200</v>
      </c>
      <c r="AB63" s="16" t="s">
        <v>113</v>
      </c>
      <c r="AC63" s="47" t="s">
        <v>112</v>
      </c>
      <c r="AD63" s="47" t="s">
        <v>320</v>
      </c>
      <c r="AH63" s="71" t="s">
        <v>892</v>
      </c>
      <c r="AI63" s="72" t="s">
        <v>894</v>
      </c>
      <c r="BQ63" s="47" t="s">
        <v>617</v>
      </c>
      <c r="BR63" s="47" t="s">
        <v>618</v>
      </c>
      <c r="CA63" s="47" t="s">
        <v>815</v>
      </c>
      <c r="CB63" s="47" t="s">
        <v>837</v>
      </c>
    </row>
    <row r="64" spans="5:82">
      <c r="Z64" s="16" t="s">
        <v>173</v>
      </c>
      <c r="AA64" s="16" t="s">
        <v>199</v>
      </c>
      <c r="AB64" s="16" t="s">
        <v>113</v>
      </c>
      <c r="AC64" s="47" t="s">
        <v>112</v>
      </c>
      <c r="AD64" s="47" t="s">
        <v>938</v>
      </c>
      <c r="AH64" s="71" t="s">
        <v>893</v>
      </c>
      <c r="AI64" s="72" t="s">
        <v>895</v>
      </c>
      <c r="BQ64" s="47" t="s">
        <v>619</v>
      </c>
      <c r="BR64" s="47" t="s">
        <v>620</v>
      </c>
      <c r="CA64" s="47" t="s">
        <v>816</v>
      </c>
      <c r="CB64" s="47" t="s">
        <v>838</v>
      </c>
    </row>
    <row r="65" spans="26:80">
      <c r="Z65" s="16" t="s">
        <v>260</v>
      </c>
      <c r="AA65" s="16" t="s">
        <v>195</v>
      </c>
      <c r="AB65" s="16" t="s">
        <v>113</v>
      </c>
      <c r="AC65" s="47" t="s">
        <v>112</v>
      </c>
      <c r="AD65" s="47" t="s">
        <v>317</v>
      </c>
      <c r="AH65" s="71" t="s">
        <v>896</v>
      </c>
      <c r="AI65" s="72" t="s">
        <v>897</v>
      </c>
      <c r="BQ65" s="47" t="s">
        <v>621</v>
      </c>
      <c r="BR65" s="47" t="s">
        <v>622</v>
      </c>
      <c r="CA65" s="47">
        <v>122000</v>
      </c>
      <c r="CB65" s="47" t="s">
        <v>829</v>
      </c>
    </row>
    <row r="66" spans="26:80">
      <c r="Z66" s="76" t="s">
        <v>983</v>
      </c>
      <c r="AB66" s="16" t="s">
        <v>113</v>
      </c>
      <c r="AC66" s="47" t="s">
        <v>112</v>
      </c>
      <c r="AD66" s="47" t="s">
        <v>965</v>
      </c>
      <c r="AH66" s="71" t="s">
        <v>898</v>
      </c>
      <c r="AI66" s="72" t="s">
        <v>899</v>
      </c>
      <c r="BQ66" s="47" t="s">
        <v>623</v>
      </c>
      <c r="BR66" s="47" t="s">
        <v>624</v>
      </c>
      <c r="CA66" s="47">
        <v>120300</v>
      </c>
      <c r="CB66" s="47" t="s">
        <v>830</v>
      </c>
    </row>
    <row r="67" spans="26:80">
      <c r="Z67" s="16" t="s">
        <v>295</v>
      </c>
      <c r="AA67" s="16" t="s">
        <v>186</v>
      </c>
      <c r="AB67" s="16" t="s">
        <v>113</v>
      </c>
      <c r="AC67" s="47" t="s">
        <v>112</v>
      </c>
      <c r="AD67" s="47" t="s">
        <v>321</v>
      </c>
      <c r="AH67" s="71" t="s">
        <v>883</v>
      </c>
      <c r="AI67" s="72" t="s">
        <v>884</v>
      </c>
      <c r="BQ67" s="47" t="s">
        <v>625</v>
      </c>
      <c r="BR67" s="47" t="s">
        <v>626</v>
      </c>
      <c r="CA67" s="47">
        <v>120500</v>
      </c>
      <c r="CB67" s="47" t="s">
        <v>831</v>
      </c>
    </row>
    <row r="68" spans="26:80">
      <c r="Z68" s="76" t="s">
        <v>983</v>
      </c>
      <c r="AB68" s="16" t="s">
        <v>113</v>
      </c>
      <c r="AC68" s="47" t="s">
        <v>112</v>
      </c>
      <c r="AD68" s="47" t="s">
        <v>941</v>
      </c>
      <c r="AH68" s="47" t="s">
        <v>871</v>
      </c>
      <c r="AI68" s="72" t="s">
        <v>888</v>
      </c>
      <c r="BQ68" s="47" t="s">
        <v>627</v>
      </c>
      <c r="BR68" s="47" t="s">
        <v>628</v>
      </c>
      <c r="CA68" s="47">
        <v>122400</v>
      </c>
      <c r="CB68" s="47" t="s">
        <v>832</v>
      </c>
    </row>
    <row r="69" spans="26:80">
      <c r="Z69" s="16" t="s">
        <v>297</v>
      </c>
      <c r="AA69" s="16" t="s">
        <v>197</v>
      </c>
      <c r="AB69" s="16" t="s">
        <v>113</v>
      </c>
      <c r="AC69" s="47" t="s">
        <v>112</v>
      </c>
      <c r="AD69" s="47" t="s">
        <v>318</v>
      </c>
      <c r="AH69" s="47" t="s">
        <v>872</v>
      </c>
      <c r="AI69" s="47" t="s">
        <v>885</v>
      </c>
      <c r="BQ69" s="47" t="s">
        <v>629</v>
      </c>
      <c r="BR69" s="47" t="s">
        <v>630</v>
      </c>
      <c r="CA69" s="47">
        <v>122600</v>
      </c>
      <c r="CB69" s="47" t="s">
        <v>833</v>
      </c>
    </row>
    <row r="70" spans="26:80">
      <c r="Z70" s="76" t="s">
        <v>983</v>
      </c>
      <c r="AB70" s="16" t="s">
        <v>113</v>
      </c>
      <c r="AC70" s="47" t="s">
        <v>112</v>
      </c>
      <c r="AD70" s="47" t="s">
        <v>963</v>
      </c>
      <c r="AH70" s="47" t="s">
        <v>873</v>
      </c>
      <c r="AI70" s="47" t="s">
        <v>886</v>
      </c>
      <c r="BQ70" s="47" t="s">
        <v>631</v>
      </c>
      <c r="BR70" s="47" t="s">
        <v>632</v>
      </c>
    </row>
    <row r="71" spans="26:80">
      <c r="Z71" s="16" t="s">
        <v>298</v>
      </c>
      <c r="AA71" s="16" t="s">
        <v>198</v>
      </c>
      <c r="AB71" s="16" t="s">
        <v>113</v>
      </c>
      <c r="AC71" s="47" t="s">
        <v>112</v>
      </c>
      <c r="AD71" s="47" t="s">
        <v>319</v>
      </c>
      <c r="AH71" s="47" t="s">
        <v>874</v>
      </c>
      <c r="AI71" s="47" t="s">
        <v>887</v>
      </c>
      <c r="BQ71" s="47" t="s">
        <v>633</v>
      </c>
      <c r="BR71" s="47" t="s">
        <v>634</v>
      </c>
    </row>
    <row r="72" spans="26:80">
      <c r="Z72" s="16" t="s">
        <v>263</v>
      </c>
      <c r="AA72" s="16" t="s">
        <v>202</v>
      </c>
      <c r="AB72" s="16" t="s">
        <v>113</v>
      </c>
      <c r="AC72" s="47" t="s">
        <v>112</v>
      </c>
      <c r="AD72" s="47" t="s">
        <v>323</v>
      </c>
      <c r="AH72" s="71" t="s">
        <v>879</v>
      </c>
      <c r="AI72" s="72" t="s">
        <v>875</v>
      </c>
      <c r="BQ72" s="47" t="s">
        <v>635</v>
      </c>
      <c r="BR72" s="47" t="s">
        <v>636</v>
      </c>
    </row>
    <row r="73" spans="26:80">
      <c r="Z73" s="16" t="s">
        <v>209</v>
      </c>
      <c r="AA73" s="16" t="s">
        <v>236</v>
      </c>
      <c r="AB73" s="16" t="s">
        <v>113</v>
      </c>
      <c r="AC73" s="47" t="s">
        <v>112</v>
      </c>
      <c r="AD73" s="47" t="s">
        <v>949</v>
      </c>
      <c r="AH73" s="71" t="s">
        <v>880</v>
      </c>
      <c r="AI73" s="72" t="s">
        <v>876</v>
      </c>
      <c r="BQ73" s="47" t="s">
        <v>637</v>
      </c>
      <c r="BR73" s="47" t="s">
        <v>638</v>
      </c>
    </row>
    <row r="74" spans="26:80">
      <c r="Z74" s="16" t="s">
        <v>210</v>
      </c>
      <c r="AA74" s="16" t="s">
        <v>236</v>
      </c>
      <c r="AB74" s="16" t="s">
        <v>113</v>
      </c>
      <c r="AC74" s="47" t="s">
        <v>112</v>
      </c>
      <c r="AD74" s="47" t="s">
        <v>949</v>
      </c>
      <c r="AH74" s="71" t="s">
        <v>881</v>
      </c>
      <c r="AI74" s="72" t="s">
        <v>877</v>
      </c>
      <c r="BQ74" s="47" t="s">
        <v>639</v>
      </c>
      <c r="BR74" s="47" t="s">
        <v>640</v>
      </c>
    </row>
    <row r="75" spans="26:80">
      <c r="Z75" s="76" t="s">
        <v>983</v>
      </c>
      <c r="AB75" s="16" t="s">
        <v>113</v>
      </c>
      <c r="AC75" s="47" t="s">
        <v>112</v>
      </c>
      <c r="AD75" s="47" t="s">
        <v>952</v>
      </c>
      <c r="AH75" s="71" t="s">
        <v>882</v>
      </c>
      <c r="AI75" s="72" t="s">
        <v>878</v>
      </c>
      <c r="BQ75" s="47" t="s">
        <v>641</v>
      </c>
      <c r="BR75" s="47" t="s">
        <v>642</v>
      </c>
    </row>
    <row r="76" spans="26:80">
      <c r="Z76" s="16" t="s">
        <v>214</v>
      </c>
      <c r="AA76" s="16" t="s">
        <v>236</v>
      </c>
      <c r="AB76" s="16" t="s">
        <v>113</v>
      </c>
      <c r="AC76" s="47" t="s">
        <v>112</v>
      </c>
      <c r="AD76" s="47" t="s">
        <v>329</v>
      </c>
      <c r="BQ76" s="47" t="s">
        <v>643</v>
      </c>
      <c r="BR76" s="47" t="s">
        <v>644</v>
      </c>
    </row>
    <row r="77" spans="26:80">
      <c r="Z77" s="16" t="s">
        <v>215</v>
      </c>
      <c r="AA77" s="16" t="s">
        <v>236</v>
      </c>
      <c r="AB77" s="16" t="s">
        <v>113</v>
      </c>
      <c r="AC77" s="47" t="s">
        <v>112</v>
      </c>
      <c r="AD77" s="47" t="s">
        <v>329</v>
      </c>
      <c r="BQ77" s="47" t="s">
        <v>645</v>
      </c>
      <c r="BR77" s="47" t="s">
        <v>646</v>
      </c>
    </row>
    <row r="78" spans="26:80">
      <c r="Z78" s="76" t="s">
        <v>983</v>
      </c>
      <c r="AB78" s="16" t="s">
        <v>113</v>
      </c>
      <c r="AC78" s="47" t="s">
        <v>112</v>
      </c>
      <c r="AD78" s="47" t="s">
        <v>953</v>
      </c>
      <c r="BQ78" s="47" t="s">
        <v>647</v>
      </c>
      <c r="BR78" s="47" t="s">
        <v>648</v>
      </c>
    </row>
    <row r="79" spans="26:80">
      <c r="Z79" s="76" t="s">
        <v>983</v>
      </c>
      <c r="AB79" s="16" t="s">
        <v>113</v>
      </c>
      <c r="AC79" s="47" t="s">
        <v>112</v>
      </c>
      <c r="AD79" s="47" t="s">
        <v>954</v>
      </c>
      <c r="BQ79" s="47" t="s">
        <v>649</v>
      </c>
      <c r="BR79" s="47" t="s">
        <v>650</v>
      </c>
    </row>
    <row r="80" spans="26:80">
      <c r="Z80" s="16" t="s">
        <v>300</v>
      </c>
      <c r="AA80" s="16" t="s">
        <v>236</v>
      </c>
      <c r="AB80" s="16" t="s">
        <v>113</v>
      </c>
      <c r="AC80" s="47" t="s">
        <v>112</v>
      </c>
      <c r="AD80" s="47" t="s">
        <v>330</v>
      </c>
      <c r="BQ80" s="47" t="s">
        <v>651</v>
      </c>
      <c r="BR80" s="47" t="s">
        <v>652</v>
      </c>
    </row>
    <row r="81" spans="26:70">
      <c r="Z81" s="76" t="s">
        <v>983</v>
      </c>
      <c r="AB81" s="16" t="s">
        <v>113</v>
      </c>
      <c r="AC81" s="47" t="s">
        <v>112</v>
      </c>
      <c r="AD81" s="47" t="s">
        <v>955</v>
      </c>
      <c r="BQ81" s="47" t="s">
        <v>653</v>
      </c>
      <c r="BR81" s="47" t="s">
        <v>654</v>
      </c>
    </row>
    <row r="82" spans="26:70">
      <c r="Z82" s="76" t="s">
        <v>983</v>
      </c>
      <c r="AB82" s="16" t="s">
        <v>113</v>
      </c>
      <c r="AC82" s="47" t="s">
        <v>112</v>
      </c>
      <c r="AD82" s="47" t="s">
        <v>956</v>
      </c>
      <c r="BQ82" s="47" t="s">
        <v>655</v>
      </c>
      <c r="BR82" s="47" t="s">
        <v>656</v>
      </c>
    </row>
    <row r="83" spans="26:70">
      <c r="Z83" s="76" t="s">
        <v>983</v>
      </c>
      <c r="AB83" s="16" t="s">
        <v>113</v>
      </c>
      <c r="AC83" s="47" t="s">
        <v>112</v>
      </c>
      <c r="AD83" s="47" t="s">
        <v>957</v>
      </c>
      <c r="BQ83" s="47" t="s">
        <v>657</v>
      </c>
      <c r="BR83" s="47" t="s">
        <v>658</v>
      </c>
    </row>
    <row r="84" spans="26:70">
      <c r="Z84" s="76" t="s">
        <v>983</v>
      </c>
      <c r="AB84" s="16" t="s">
        <v>113</v>
      </c>
      <c r="AC84" s="47" t="s">
        <v>112</v>
      </c>
      <c r="AD84" s="47" t="s">
        <v>950</v>
      </c>
      <c r="BQ84" s="47" t="s">
        <v>659</v>
      </c>
      <c r="BR84" s="47" t="s">
        <v>660</v>
      </c>
    </row>
    <row r="85" spans="26:70">
      <c r="Z85" s="16" t="s">
        <v>283</v>
      </c>
      <c r="AA85" s="16"/>
      <c r="AB85" s="16" t="s">
        <v>113</v>
      </c>
      <c r="AC85" s="47" t="s">
        <v>112</v>
      </c>
      <c r="AD85" s="47" t="s">
        <v>324</v>
      </c>
      <c r="BQ85" s="47" t="s">
        <v>661</v>
      </c>
      <c r="BR85" s="47" t="s">
        <v>662</v>
      </c>
    </row>
    <row r="86" spans="26:70">
      <c r="Z86" s="76" t="s">
        <v>983</v>
      </c>
      <c r="AB86" s="16" t="s">
        <v>113</v>
      </c>
      <c r="AC86" s="47" t="s">
        <v>112</v>
      </c>
      <c r="AD86" s="47" t="s">
        <v>978</v>
      </c>
      <c r="BQ86" s="47" t="s">
        <v>663</v>
      </c>
      <c r="BR86" s="47" t="s">
        <v>664</v>
      </c>
    </row>
    <row r="87" spans="26:70">
      <c r="Z87" s="16" t="s">
        <v>286</v>
      </c>
      <c r="AA87" s="16" t="s">
        <v>178</v>
      </c>
      <c r="AB87" s="16" t="s">
        <v>116</v>
      </c>
      <c r="AC87" s="47" t="s">
        <v>62</v>
      </c>
      <c r="AD87" s="47">
        <v>11</v>
      </c>
      <c r="BQ87" s="47" t="s">
        <v>665</v>
      </c>
      <c r="BR87" s="47" t="s">
        <v>666</v>
      </c>
    </row>
    <row r="88" spans="26:70">
      <c r="Z88" s="16" t="s">
        <v>213</v>
      </c>
      <c r="AA88" s="16" t="s">
        <v>237</v>
      </c>
      <c r="AB88" s="16" t="s">
        <v>116</v>
      </c>
      <c r="AC88" s="47" t="s">
        <v>62</v>
      </c>
      <c r="AD88" s="47">
        <v>30</v>
      </c>
      <c r="BQ88" s="47" t="s">
        <v>667</v>
      </c>
      <c r="BR88" s="47" t="s">
        <v>668</v>
      </c>
    </row>
    <row r="89" spans="26:70">
      <c r="Z89" t="s">
        <v>990</v>
      </c>
      <c r="AA89" t="s">
        <v>237</v>
      </c>
      <c r="AB89" s="16" t="s">
        <v>116</v>
      </c>
      <c r="AC89" s="47" t="s">
        <v>62</v>
      </c>
      <c r="AD89" s="47">
        <v>30</v>
      </c>
      <c r="BQ89" s="47" t="s">
        <v>669</v>
      </c>
      <c r="BR89" s="47" t="s">
        <v>670</v>
      </c>
    </row>
    <row r="90" spans="26:70">
      <c r="Z90" s="16" t="s">
        <v>224</v>
      </c>
      <c r="AA90" s="16" t="s">
        <v>237</v>
      </c>
      <c r="AB90" s="16" t="s">
        <v>116</v>
      </c>
      <c r="AC90" s="47" t="s">
        <v>62</v>
      </c>
      <c r="AD90" s="47">
        <v>31</v>
      </c>
      <c r="BQ90" s="47" t="s">
        <v>671</v>
      </c>
      <c r="BR90" s="47" t="s">
        <v>672</v>
      </c>
    </row>
    <row r="91" spans="26:70">
      <c r="Z91" s="16" t="s">
        <v>225</v>
      </c>
      <c r="AA91" s="16" t="s">
        <v>237</v>
      </c>
      <c r="AB91" s="16" t="s">
        <v>116</v>
      </c>
      <c r="AC91" s="47" t="s">
        <v>62</v>
      </c>
      <c r="AD91" s="47">
        <v>31</v>
      </c>
      <c r="BQ91" s="47" t="s">
        <v>673</v>
      </c>
      <c r="BR91" s="47" t="s">
        <v>674</v>
      </c>
    </row>
    <row r="92" spans="26:70">
      <c r="Z92" s="16" t="s">
        <v>307</v>
      </c>
      <c r="AA92" s="16" t="s">
        <v>238</v>
      </c>
      <c r="AB92" s="16" t="s">
        <v>116</v>
      </c>
      <c r="AC92" s="47" t="s">
        <v>62</v>
      </c>
      <c r="AD92" s="47">
        <v>32</v>
      </c>
      <c r="BQ92" s="47" t="s">
        <v>675</v>
      </c>
      <c r="BR92" s="47" t="s">
        <v>676</v>
      </c>
    </row>
    <row r="93" spans="26:70">
      <c r="Z93" s="16" t="s">
        <v>229</v>
      </c>
      <c r="AA93" s="16" t="s">
        <v>238</v>
      </c>
      <c r="AB93" s="16" t="s">
        <v>116</v>
      </c>
      <c r="AC93" s="47" t="s">
        <v>62</v>
      </c>
      <c r="AD93" s="47">
        <v>33</v>
      </c>
      <c r="BQ93" s="47" t="s">
        <v>677</v>
      </c>
      <c r="BR93" s="47" t="s">
        <v>678</v>
      </c>
    </row>
    <row r="94" spans="26:70">
      <c r="Z94" s="16" t="s">
        <v>230</v>
      </c>
      <c r="AA94" s="16" t="s">
        <v>238</v>
      </c>
      <c r="AB94" s="16" t="s">
        <v>116</v>
      </c>
      <c r="AC94" s="47" t="s">
        <v>62</v>
      </c>
      <c r="AD94" s="47">
        <v>33</v>
      </c>
      <c r="BQ94" s="47" t="s">
        <v>679</v>
      </c>
      <c r="BR94" s="47" t="s">
        <v>680</v>
      </c>
    </row>
    <row r="95" spans="26:70">
      <c r="Z95" s="16" t="s">
        <v>220</v>
      </c>
      <c r="AA95" s="16" t="s">
        <v>239</v>
      </c>
      <c r="AB95" s="16" t="s">
        <v>116</v>
      </c>
      <c r="AC95" s="47" t="s">
        <v>62</v>
      </c>
      <c r="AD95" s="47">
        <v>40</v>
      </c>
      <c r="BQ95" s="47" t="s">
        <v>681</v>
      </c>
      <c r="BR95" s="47" t="s">
        <v>682</v>
      </c>
    </row>
    <row r="96" spans="26:70">
      <c r="Z96" s="16" t="s">
        <v>221</v>
      </c>
      <c r="AA96" s="16" t="s">
        <v>239</v>
      </c>
      <c r="AB96" s="16" t="s">
        <v>116</v>
      </c>
      <c r="AC96" s="47" t="s">
        <v>62</v>
      </c>
      <c r="AD96" s="47">
        <v>40</v>
      </c>
      <c r="BQ96" s="47" t="s">
        <v>683</v>
      </c>
      <c r="BR96" s="47" t="s">
        <v>684</v>
      </c>
    </row>
    <row r="97" spans="26:70">
      <c r="Z97" s="16" t="s">
        <v>222</v>
      </c>
      <c r="AA97" s="16" t="s">
        <v>240</v>
      </c>
      <c r="AB97" s="16" t="s">
        <v>116</v>
      </c>
      <c r="AC97" s="47" t="s">
        <v>62</v>
      </c>
      <c r="AD97" s="47">
        <v>41</v>
      </c>
      <c r="BQ97" s="47" t="s">
        <v>685</v>
      </c>
      <c r="BR97" s="47" t="s">
        <v>686</v>
      </c>
    </row>
    <row r="98" spans="26:70">
      <c r="Z98" s="16" t="s">
        <v>223</v>
      </c>
      <c r="AA98" s="16" t="s">
        <v>240</v>
      </c>
      <c r="AB98" s="16" t="s">
        <v>116</v>
      </c>
      <c r="AC98" s="47" t="s">
        <v>62</v>
      </c>
      <c r="AD98" s="47">
        <v>41</v>
      </c>
      <c r="BQ98" s="47" t="s">
        <v>687</v>
      </c>
      <c r="BR98" s="47" t="s">
        <v>688</v>
      </c>
    </row>
    <row r="99" spans="26:70">
      <c r="Z99" s="16" t="s">
        <v>313</v>
      </c>
      <c r="AA99" s="16" t="s">
        <v>240</v>
      </c>
      <c r="AB99" s="16" t="s">
        <v>116</v>
      </c>
      <c r="AC99" s="47" t="s">
        <v>62</v>
      </c>
      <c r="AD99" s="47">
        <v>42</v>
      </c>
      <c r="BQ99" s="47" t="s">
        <v>689</v>
      </c>
      <c r="BR99" s="47" t="s">
        <v>690</v>
      </c>
    </row>
    <row r="100" spans="26:70">
      <c r="Z100" s="16" t="s">
        <v>287</v>
      </c>
      <c r="AA100" s="16" t="s">
        <v>271</v>
      </c>
      <c r="AB100" s="16" t="s">
        <v>116</v>
      </c>
      <c r="AC100" s="47" t="s">
        <v>62</v>
      </c>
      <c r="AD100" s="47" t="s">
        <v>327</v>
      </c>
      <c r="BQ100" s="47" t="s">
        <v>691</v>
      </c>
      <c r="BR100" s="47" t="s">
        <v>692</v>
      </c>
    </row>
    <row r="101" spans="26:70">
      <c r="Z101" s="16" t="s">
        <v>311</v>
      </c>
      <c r="AA101" s="16" t="s">
        <v>243</v>
      </c>
      <c r="AB101" s="16" t="s">
        <v>116</v>
      </c>
      <c r="AC101" s="47" t="s">
        <v>62</v>
      </c>
      <c r="AD101" s="47" t="s">
        <v>969</v>
      </c>
      <c r="BQ101" s="47" t="s">
        <v>693</v>
      </c>
      <c r="BR101" s="47" t="s">
        <v>694</v>
      </c>
    </row>
    <row r="102" spans="26:70">
      <c r="Z102" s="16" t="s">
        <v>228</v>
      </c>
      <c r="AA102" s="16" t="s">
        <v>243</v>
      </c>
      <c r="AB102" s="16" t="s">
        <v>116</v>
      </c>
      <c r="AC102" s="47" t="s">
        <v>62</v>
      </c>
      <c r="AD102" s="47" t="s">
        <v>970</v>
      </c>
      <c r="BQ102" s="47" t="s">
        <v>695</v>
      </c>
      <c r="BR102" s="47" t="s">
        <v>696</v>
      </c>
    </row>
    <row r="103" spans="26:70">
      <c r="Z103" s="16" t="s">
        <v>231</v>
      </c>
      <c r="AA103" s="16" t="s">
        <v>243</v>
      </c>
      <c r="AB103" s="16" t="s">
        <v>116</v>
      </c>
      <c r="AC103" s="47" t="s">
        <v>62</v>
      </c>
      <c r="AD103" s="47" t="s">
        <v>970</v>
      </c>
      <c r="BQ103" s="47" t="s">
        <v>697</v>
      </c>
      <c r="BR103" s="47" t="s">
        <v>698</v>
      </c>
    </row>
    <row r="104" spans="26:70">
      <c r="Z104" s="16" t="s">
        <v>312</v>
      </c>
      <c r="AA104" s="16" t="s">
        <v>244</v>
      </c>
      <c r="AB104" s="16" t="s">
        <v>116</v>
      </c>
      <c r="AC104" s="47" t="s">
        <v>62</v>
      </c>
      <c r="AD104" s="47" t="s">
        <v>971</v>
      </c>
      <c r="BQ104" s="47" t="s">
        <v>699</v>
      </c>
      <c r="BR104" s="47" t="s">
        <v>700</v>
      </c>
    </row>
    <row r="105" spans="26:70">
      <c r="Z105" s="16" t="s">
        <v>234</v>
      </c>
      <c r="AA105" s="16" t="s">
        <v>244</v>
      </c>
      <c r="AB105" s="16" t="s">
        <v>116</v>
      </c>
      <c r="AC105" s="47" t="s">
        <v>62</v>
      </c>
      <c r="AD105" s="47" t="s">
        <v>972</v>
      </c>
      <c r="BQ105" s="47" t="s">
        <v>701</v>
      </c>
      <c r="BR105" s="47" t="s">
        <v>702</v>
      </c>
    </row>
    <row r="106" spans="26:70">
      <c r="Z106" s="16" t="s">
        <v>235</v>
      </c>
      <c r="AA106" s="16" t="s">
        <v>244</v>
      </c>
      <c r="AB106" s="16" t="s">
        <v>116</v>
      </c>
      <c r="AC106" s="47" t="s">
        <v>62</v>
      </c>
      <c r="AD106" s="47" t="s">
        <v>972</v>
      </c>
      <c r="BQ106" s="47" t="s">
        <v>703</v>
      </c>
      <c r="BR106" s="47" t="s">
        <v>704</v>
      </c>
    </row>
    <row r="107" spans="26:70">
      <c r="Z107" s="16" t="s">
        <v>288</v>
      </c>
      <c r="AA107" s="16" t="s">
        <v>179</v>
      </c>
      <c r="AB107" s="16" t="s">
        <v>116</v>
      </c>
      <c r="AC107" s="47" t="s">
        <v>62</v>
      </c>
      <c r="AD107" s="47" t="s">
        <v>328</v>
      </c>
      <c r="BQ107" s="47" t="s">
        <v>705</v>
      </c>
      <c r="BR107" s="47" t="s">
        <v>706</v>
      </c>
    </row>
    <row r="108" spans="26:70">
      <c r="Z108" s="16" t="s">
        <v>309</v>
      </c>
      <c r="AA108" s="16" t="s">
        <v>241</v>
      </c>
      <c r="AB108" s="16" t="s">
        <v>116</v>
      </c>
      <c r="AC108" s="47" t="s">
        <v>62</v>
      </c>
      <c r="AD108" s="47" t="s">
        <v>333</v>
      </c>
      <c r="BQ108" s="47" t="s">
        <v>707</v>
      </c>
      <c r="BR108" s="47" t="s">
        <v>708</v>
      </c>
    </row>
    <row r="109" spans="26:70">
      <c r="Z109" s="16" t="s">
        <v>226</v>
      </c>
      <c r="AA109" s="16" t="s">
        <v>241</v>
      </c>
      <c r="AB109" s="16" t="s">
        <v>116</v>
      </c>
      <c r="AC109" s="47" t="s">
        <v>62</v>
      </c>
      <c r="AD109" s="47" t="s">
        <v>966</v>
      </c>
      <c r="BQ109" s="47" t="s">
        <v>709</v>
      </c>
      <c r="BR109" s="47" t="s">
        <v>710</v>
      </c>
    </row>
    <row r="110" spans="26:70">
      <c r="Z110" s="16" t="s">
        <v>227</v>
      </c>
      <c r="AA110" s="16" t="s">
        <v>241</v>
      </c>
      <c r="AB110" s="16" t="s">
        <v>116</v>
      </c>
      <c r="AC110" s="47" t="s">
        <v>62</v>
      </c>
      <c r="AD110" s="47" t="s">
        <v>966</v>
      </c>
      <c r="BQ110" s="47" t="s">
        <v>711</v>
      </c>
      <c r="BR110" s="47" t="s">
        <v>712</v>
      </c>
    </row>
    <row r="111" spans="26:70">
      <c r="Z111" s="16" t="s">
        <v>310</v>
      </c>
      <c r="AA111" s="16" t="s">
        <v>242</v>
      </c>
      <c r="AB111" s="16" t="s">
        <v>116</v>
      </c>
      <c r="AC111" s="47" t="s">
        <v>62</v>
      </c>
      <c r="AD111" s="47" t="s">
        <v>967</v>
      </c>
      <c r="BQ111" s="47" t="s">
        <v>713</v>
      </c>
      <c r="BR111" s="47" t="s">
        <v>714</v>
      </c>
    </row>
    <row r="112" spans="26:70">
      <c r="Z112" s="16" t="s">
        <v>232</v>
      </c>
      <c r="AA112" s="16" t="s">
        <v>242</v>
      </c>
      <c r="AB112" s="16" t="s">
        <v>116</v>
      </c>
      <c r="AC112" s="47" t="s">
        <v>62</v>
      </c>
      <c r="AD112" s="47" t="s">
        <v>968</v>
      </c>
      <c r="BQ112" s="47" t="s">
        <v>715</v>
      </c>
      <c r="BR112" s="47" t="s">
        <v>716</v>
      </c>
    </row>
    <row r="113" spans="26:70">
      <c r="Z113" s="16" t="s">
        <v>233</v>
      </c>
      <c r="AA113" s="16" t="s">
        <v>242</v>
      </c>
      <c r="AB113" s="16" t="s">
        <v>116</v>
      </c>
      <c r="AC113" s="47" t="s">
        <v>62</v>
      </c>
      <c r="AD113" s="47" t="s">
        <v>968</v>
      </c>
      <c r="BQ113" s="47" t="s">
        <v>717</v>
      </c>
      <c r="BR113" s="47" t="s">
        <v>718</v>
      </c>
    </row>
    <row r="114" spans="26:70">
      <c r="Z114" s="76" t="s">
        <v>983</v>
      </c>
      <c r="AB114" s="16" t="s">
        <v>116</v>
      </c>
      <c r="AC114" s="47" t="s">
        <v>324</v>
      </c>
      <c r="AD114" s="47">
        <v>2</v>
      </c>
      <c r="BQ114" s="47" t="s">
        <v>719</v>
      </c>
      <c r="BR114" s="47" t="s">
        <v>720</v>
      </c>
    </row>
    <row r="115" spans="26:70">
      <c r="Z115" s="76" t="s">
        <v>983</v>
      </c>
      <c r="AB115" s="16" t="s">
        <v>116</v>
      </c>
      <c r="AC115" s="47" t="s">
        <v>324</v>
      </c>
      <c r="AD115" s="47">
        <v>3</v>
      </c>
      <c r="BQ115" s="47" t="s">
        <v>721</v>
      </c>
      <c r="BR115" s="47" t="s">
        <v>722</v>
      </c>
    </row>
    <row r="116" spans="26:70">
      <c r="Z116" s="76" t="s">
        <v>983</v>
      </c>
      <c r="AB116" s="16" t="s">
        <v>116</v>
      </c>
      <c r="AC116" s="47" t="s">
        <v>324</v>
      </c>
      <c r="AD116" s="47" t="s">
        <v>973</v>
      </c>
      <c r="BQ116" s="47" t="s">
        <v>723</v>
      </c>
      <c r="BR116" s="47" t="s">
        <v>724</v>
      </c>
    </row>
    <row r="117" spans="26:70">
      <c r="Z117" s="76" t="s">
        <v>983</v>
      </c>
      <c r="AB117" s="16" t="s">
        <v>116</v>
      </c>
      <c r="AC117" s="47" t="s">
        <v>324</v>
      </c>
      <c r="AD117" s="47" t="s">
        <v>974</v>
      </c>
      <c r="BQ117" s="47" t="s">
        <v>725</v>
      </c>
      <c r="BR117" s="47" t="s">
        <v>726</v>
      </c>
    </row>
    <row r="118" spans="26:70">
      <c r="Z118" s="16" t="s">
        <v>289</v>
      </c>
      <c r="AA118" s="16" t="s">
        <v>236</v>
      </c>
      <c r="AB118" s="16" t="s">
        <v>116</v>
      </c>
      <c r="AC118" s="47" t="s">
        <v>980</v>
      </c>
      <c r="AD118" s="47">
        <v>1</v>
      </c>
      <c r="BQ118" s="47" t="s">
        <v>727</v>
      </c>
      <c r="BR118" s="47" t="s">
        <v>728</v>
      </c>
    </row>
    <row r="119" spans="26:70">
      <c r="Z119" s="76" t="s">
        <v>983</v>
      </c>
      <c r="AB119" s="16" t="s">
        <v>116</v>
      </c>
      <c r="AC119" s="47" t="s">
        <v>980</v>
      </c>
      <c r="AD119" s="47">
        <v>2</v>
      </c>
      <c r="BQ119" s="47" t="s">
        <v>729</v>
      </c>
      <c r="BR119" s="47" t="s">
        <v>730</v>
      </c>
    </row>
    <row r="120" spans="26:70">
      <c r="Z120" t="s">
        <v>981</v>
      </c>
      <c r="AB120" s="16" t="s">
        <v>115</v>
      </c>
      <c r="AC120" s="47" t="s">
        <v>114</v>
      </c>
      <c r="AD120" s="47">
        <v>10</v>
      </c>
      <c r="BQ120" s="47" t="s">
        <v>731</v>
      </c>
      <c r="BR120" s="47" t="s">
        <v>732</v>
      </c>
    </row>
    <row r="121" spans="26:70">
      <c r="Z121" s="16" t="s">
        <v>304</v>
      </c>
      <c r="AA121" s="16" t="s">
        <v>206</v>
      </c>
      <c r="AB121" s="16" t="s">
        <v>115</v>
      </c>
      <c r="AC121" s="47" t="s">
        <v>114</v>
      </c>
      <c r="AD121" s="47">
        <v>20</v>
      </c>
      <c r="BQ121" s="47" t="s">
        <v>733</v>
      </c>
      <c r="BR121" s="47" t="s">
        <v>734</v>
      </c>
    </row>
    <row r="122" spans="26:70">
      <c r="Z122" s="16" t="s">
        <v>133</v>
      </c>
      <c r="AA122" s="16" t="s">
        <v>206</v>
      </c>
      <c r="AB122" s="16" t="s">
        <v>115</v>
      </c>
      <c r="AC122" s="47" t="s">
        <v>114</v>
      </c>
      <c r="AD122" s="47">
        <v>30</v>
      </c>
      <c r="BQ122" s="47" t="s">
        <v>735</v>
      </c>
      <c r="BR122" s="47" t="s">
        <v>736</v>
      </c>
    </row>
    <row r="123" spans="26:70">
      <c r="Z123" t="s">
        <v>982</v>
      </c>
      <c r="AB123" s="16" t="s">
        <v>115</v>
      </c>
      <c r="AC123" s="47" t="s">
        <v>114</v>
      </c>
      <c r="AD123" s="47" t="s">
        <v>975</v>
      </c>
      <c r="BQ123" s="47" t="s">
        <v>737</v>
      </c>
      <c r="BR123" s="47" t="s">
        <v>738</v>
      </c>
    </row>
    <row r="124" spans="26:70">
      <c r="Z124" s="16" t="s">
        <v>305</v>
      </c>
      <c r="AA124" s="16" t="s">
        <v>255</v>
      </c>
      <c r="AB124" s="16" t="s">
        <v>115</v>
      </c>
      <c r="AC124" s="47" t="s">
        <v>114</v>
      </c>
      <c r="AD124" s="47" t="s">
        <v>939</v>
      </c>
      <c r="BQ124" s="47" t="s">
        <v>739</v>
      </c>
      <c r="BR124" s="47" t="s">
        <v>740</v>
      </c>
    </row>
    <row r="125" spans="26:70">
      <c r="Z125" s="16" t="s">
        <v>306</v>
      </c>
      <c r="AA125" s="16" t="s">
        <v>255</v>
      </c>
      <c r="AB125" s="16" t="s">
        <v>115</v>
      </c>
      <c r="AC125" s="47" t="s">
        <v>114</v>
      </c>
      <c r="AD125" s="47" t="s">
        <v>940</v>
      </c>
      <c r="BQ125" s="47" t="s">
        <v>741</v>
      </c>
      <c r="BR125" s="47" t="s">
        <v>742</v>
      </c>
    </row>
    <row r="126" spans="26:70">
      <c r="BQ126" s="47" t="s">
        <v>743</v>
      </c>
      <c r="BR126" s="47" t="s">
        <v>744</v>
      </c>
    </row>
    <row r="127" spans="26:70">
      <c r="BQ127" s="47" t="s">
        <v>745</v>
      </c>
      <c r="BR127" s="47" t="s">
        <v>746</v>
      </c>
    </row>
    <row r="128" spans="26:70">
      <c r="BQ128" s="47" t="s">
        <v>747</v>
      </c>
      <c r="BR128" s="47" t="s">
        <v>748</v>
      </c>
    </row>
    <row r="129" spans="69:70">
      <c r="BQ129" s="47" t="s">
        <v>749</v>
      </c>
      <c r="BR129" s="47" t="s">
        <v>750</v>
      </c>
    </row>
    <row r="130" spans="69:70">
      <c r="BQ130" s="47" t="s">
        <v>751</v>
      </c>
      <c r="BR130" s="47" t="s">
        <v>752</v>
      </c>
    </row>
    <row r="131" spans="69:70">
      <c r="BQ131" s="47" t="s">
        <v>753</v>
      </c>
      <c r="BR131" s="47" t="s">
        <v>754</v>
      </c>
    </row>
    <row r="132" spans="69:70">
      <c r="BQ132" s="47" t="s">
        <v>755</v>
      </c>
      <c r="BR132" s="47" t="s">
        <v>756</v>
      </c>
    </row>
    <row r="133" spans="69:70">
      <c r="BQ133" s="47" t="s">
        <v>757</v>
      </c>
      <c r="BR133" s="47" t="s">
        <v>758</v>
      </c>
    </row>
    <row r="134" spans="69:70">
      <c r="BQ134" s="47" t="s">
        <v>759</v>
      </c>
      <c r="BR134" s="47" t="s">
        <v>760</v>
      </c>
    </row>
    <row r="135" spans="69:70">
      <c r="BQ135" s="47" t="s">
        <v>761</v>
      </c>
      <c r="BR135" s="47" t="s">
        <v>762</v>
      </c>
    </row>
  </sheetData>
  <autoFilter ref="Z1:AD125" xr:uid="{4019149C-C371-42B2-8304-527D68260943}"/>
  <sortState xmlns:xlrd2="http://schemas.microsoft.com/office/spreadsheetml/2017/richdata2" ref="AB9:AD125">
    <sortCondition ref="AB9:AB125"/>
    <sortCondition ref="AC9:AC125"/>
    <sortCondition ref="AD9:AD125"/>
  </sortState>
  <phoneticPr fontId="127" type="noConversion"/>
  <hyperlinks>
    <hyperlink ref="B8" r:id="rId1" display="1@1.pl" xr:uid="{3E6AFC89-B35E-4633-AFCB-B026D62DCE85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2026-02-16T14:33:41Z</dcterms:modified>
</cp:coreProperties>
</file>