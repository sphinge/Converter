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en_skoroszyt" defaultThemeVersion="166925"/>
  <mc:AlternateContent>
    <mc:Choice Requires="x15">
      <x15ac:absPath xmlns:x15ac="http://schemas.microsoft.com/office/spreadsheetml/2010/11/ac" url="Z:\prod3\ude\eform\def\"/>
    </mc:Choice>
  </mc:AlternateContent>
  <xr:revisionPtr revIDLastSave="0" documentId="13_ncr:1_{8D18FD6E-8506-412A-9302-0CC74E47F1FA}" xr6:coauthVersionLast="47" xr6:coauthVersionMax="47" xr10:uidLastSave="{00000000-0000-0000-0000-000000000000}"/>
  <bookViews>
    <workbookView xWindow="-28920" yWindow="-120" windowWidth="29040" windowHeight="15720" xr2:uid="{60BB349C-ECAF-4E36-9CBD-02C7D0522A7E}"/>
  </bookViews>
  <sheets>
    <sheet name="IMPORT" sheetId="1" r:id="rId1"/>
  </sheets>
  <calcPr calcId="181029"/>
</workbook>
</file>

<file path=xl/calcChain.xml><?xml version="1.0" encoding="utf-8"?>
<calcChain xmlns="http://schemas.openxmlformats.org/spreadsheetml/2006/main">
  <c r="Q23" i="1" l="1"/>
  <c r="Q25" i="1"/>
  <c r="Q26" i="1"/>
  <c r="Q19" i="1"/>
  <c r="Q24" i="1" l="1"/>
  <c r="Q17" i="1" l="1"/>
  <c r="Q2" i="1"/>
  <c r="Q22" i="1"/>
  <c r="Q21" i="1"/>
  <c r="Q20" i="1" s="1"/>
  <c r="O6" i="1"/>
  <c r="O5" i="1"/>
  <c r="O4" i="1"/>
  <c r="O3" i="1"/>
  <c r="O2" i="1"/>
  <c r="AA1" i="1"/>
  <c r="Z1" i="1"/>
  <c r="X2" i="1" s="1"/>
  <c r="U11" i="1" l="1"/>
  <c r="S13" i="1"/>
  <c r="W5" i="1"/>
  <c r="U10" i="1"/>
  <c r="U9" i="1"/>
  <c r="U3" i="1"/>
  <c r="S4" i="1"/>
  <c r="U2" i="1"/>
  <c r="S3" i="1"/>
  <c r="W6" i="1"/>
  <c r="S2" i="1"/>
  <c r="S25" i="1"/>
  <c r="W17" i="1"/>
  <c r="W15" i="1"/>
  <c r="S23" i="1"/>
  <c r="S24" i="1" s="1"/>
  <c r="W14" i="1"/>
  <c r="S21" i="1"/>
  <c r="W13" i="1"/>
  <c r="S20" i="1"/>
  <c r="W12" i="1"/>
  <c r="S19" i="1"/>
  <c r="W11" i="1"/>
  <c r="S18" i="1"/>
  <c r="W10" i="1"/>
  <c r="S17" i="1"/>
  <c r="W9" i="1"/>
  <c r="S16" i="1"/>
  <c r="W8" i="1"/>
  <c r="S15" i="1"/>
  <c r="W7" i="1"/>
  <c r="S12" i="1"/>
  <c r="W4" i="1"/>
  <c r="S11" i="1"/>
  <c r="W3" i="1"/>
  <c r="U7" i="1"/>
  <c r="S10" i="1"/>
  <c r="W2" i="1"/>
  <c r="U6" i="1"/>
  <c r="S7" i="1"/>
  <c r="U5" i="1"/>
  <c r="S6" i="1"/>
  <c r="U4" i="1"/>
  <c r="S5" i="1"/>
  <c r="S22" i="1"/>
  <c r="W16" i="1"/>
  <c r="U12" i="1"/>
  <c r="S26" i="1"/>
  <c r="S1" i="1"/>
  <c r="W1" i="1"/>
  <c r="U1" i="1"/>
  <c r="Q6" i="1"/>
  <c r="Q16" i="1"/>
  <c r="Q7" i="1" l="1"/>
  <c r="Q3" i="1"/>
  <c r="Q9" i="1"/>
  <c r="Q10" i="1"/>
  <c r="Q11" i="1"/>
  <c r="Q12" i="1"/>
  <c r="Q13" i="1"/>
  <c r="Q14" i="1"/>
</calcChain>
</file>

<file path=xl/sharedStrings.xml><?xml version="1.0" encoding="utf-8"?>
<sst xmlns="http://schemas.openxmlformats.org/spreadsheetml/2006/main" count="5011" uniqueCount="1154">
  <si>
    <t>Identyfikator</t>
  </si>
  <si>
    <t>ILOSC</t>
  </si>
  <si>
    <t>MODEL</t>
  </si>
  <si>
    <t>KOLOR</t>
  </si>
  <si>
    <t>SZEROKOSC</t>
  </si>
  <si>
    <t>WYSOKOSC</t>
  </si>
  <si>
    <t>MOTOR</t>
  </si>
  <si>
    <t>ZASILANIE</t>
  </si>
  <si>
    <t>PILOT</t>
  </si>
  <si>
    <t>AUTOMATYKA</t>
  </si>
  <si>
    <t>OCHRONA_CHILD_SAFETY</t>
  </si>
  <si>
    <t>WYSOKOSC_MONTAZU</t>
  </si>
  <si>
    <t>DLUGOSC_STER</t>
  </si>
  <si>
    <t>MONTAZ</t>
  </si>
  <si>
    <t>POW</t>
  </si>
  <si>
    <t>CENA</t>
  </si>
  <si>
    <t>DOPLATA</t>
  </si>
  <si>
    <t>DOPLATA_EL</t>
  </si>
  <si>
    <t>CENA_SUMA</t>
  </si>
  <si>
    <t>SUMA_BRUTTO</t>
  </si>
  <si>
    <t>CENA_RABAT</t>
  </si>
  <si>
    <t>DOPLATA_EL_RABAT</t>
  </si>
  <si>
    <t>CENA_KONCOWA</t>
  </si>
  <si>
    <t>WARTOSC_KONCOWA</t>
  </si>
  <si>
    <t>Wart</t>
  </si>
  <si>
    <t>Alias</t>
  </si>
  <si>
    <t>Alias_opis</t>
  </si>
  <si>
    <t>address</t>
  </si>
  <si>
    <t>city</t>
  </si>
  <si>
    <t>client</t>
  </si>
  <si>
    <t>comment</t>
  </si>
  <si>
    <t>commission</t>
  </si>
  <si>
    <t>country</t>
  </si>
  <si>
    <t>email</t>
  </si>
  <si>
    <t>name</t>
  </si>
  <si>
    <t>orderno</t>
  </si>
  <si>
    <t>organizationIdent</t>
  </si>
  <si>
    <t>phone</t>
  </si>
  <si>
    <t>sentDate</t>
  </si>
  <si>
    <t>tax</t>
  </si>
  <si>
    <t>userIdent</t>
  </si>
  <si>
    <t>zip</t>
  </si>
  <si>
    <t>Wart_opis</t>
  </si>
  <si>
    <t>IDENT</t>
  </si>
  <si>
    <t>Poz</t>
  </si>
  <si>
    <t>Rej</t>
  </si>
  <si>
    <t>Nagłówek</t>
  </si>
  <si>
    <t>Pozycja</t>
  </si>
  <si>
    <t>adres_ident</t>
  </si>
  <si>
    <t>adres_nazwa</t>
  </si>
  <si>
    <t>adres_adres</t>
  </si>
  <si>
    <t>adres_kodpoczt</t>
  </si>
  <si>
    <t>adres_miejscowosc</t>
  </si>
  <si>
    <t>adres_kraj</t>
  </si>
  <si>
    <t>adres_nrtel</t>
  </si>
  <si>
    <t>adres_email</t>
  </si>
  <si>
    <t>adres_region</t>
  </si>
  <si>
    <t>odbiorca</t>
  </si>
  <si>
    <t>dealer</t>
  </si>
  <si>
    <t>kooperant</t>
  </si>
  <si>
    <t>sprzedawca</t>
  </si>
  <si>
    <t>uwagi</t>
  </si>
  <si>
    <t>cena_podst</t>
  </si>
  <si>
    <t>rabat_proc</t>
  </si>
  <si>
    <t>rabat</t>
  </si>
  <si>
    <t>cena</t>
  </si>
  <si>
    <t>kom</t>
  </si>
  <si>
    <t>ident</t>
  </si>
  <si>
    <t>organizacja</t>
  </si>
  <si>
    <t>cena_info</t>
  </si>
  <si>
    <t>rabat_info</t>
  </si>
  <si>
    <t>product</t>
  </si>
  <si>
    <t>MONTAŻ</t>
  </si>
  <si>
    <t>INSTRUKCJA</t>
  </si>
  <si>
    <t>FILM</t>
  </si>
  <si>
    <t>OPIS_POZYCJI</t>
  </si>
  <si>
    <t>orderpos</t>
  </si>
  <si>
    <t>posid</t>
  </si>
  <si>
    <t>product_description</t>
  </si>
  <si>
    <t>orderid</t>
  </si>
  <si>
    <t>Tytuł</t>
  </si>
  <si>
    <t>Widoczny</t>
  </si>
  <si>
    <t>Słownik</t>
  </si>
  <si>
    <t>ILOŚĆ</t>
  </si>
  <si>
    <t>KOLOR SYSTEMU</t>
  </si>
  <si>
    <t>OCHRONA CHILD SAFETY</t>
  </si>
  <si>
    <t>WYSOKOŚĆ MONTAŻU [MM]</t>
  </si>
  <si>
    <t>CENA DET. [€] brutto</t>
  </si>
  <si>
    <t>DOPŁATA DET. [€] brutto</t>
  </si>
  <si>
    <t>DOPŁATA EL DET. [€] brutto</t>
  </si>
  <si>
    <t>CENA ŁĄCZNA  [€] (za szt)</t>
  </si>
  <si>
    <t>WARTOŚĆ BR.[€]</t>
  </si>
  <si>
    <t>RABAT %</t>
  </si>
  <si>
    <t>RABAT EL %</t>
  </si>
  <si>
    <t>CENA NETTO PO RABACIE [€]</t>
  </si>
  <si>
    <t>WART. NET. PO RABACIE [€]</t>
  </si>
  <si>
    <t>nazwa</t>
  </si>
  <si>
    <t>Test pracownik 2</t>
  </si>
  <si>
    <t>Testowy sp. z o.o.</t>
  </si>
  <si>
    <t>25.11.2025, 11:08:45</t>
  </si>
  <si>
    <t>PL</t>
  </si>
  <si>
    <t>HKL</t>
  </si>
  <si>
    <t>PL 55423325</t>
  </si>
  <si>
    <t>00-000</t>
  </si>
  <si>
    <t>pawel.woroniecki@hkl.eu</t>
  </si>
  <si>
    <t>Szczecin</t>
  </si>
  <si>
    <t>Testowa 55</t>
  </si>
  <si>
    <t>Vertikal</t>
  </si>
  <si>
    <t>organizacja_kod</t>
  </si>
  <si>
    <t>uzytkownik</t>
  </si>
  <si>
    <t>user</t>
  </si>
  <si>
    <t>nnn</t>
  </si>
  <si>
    <t>VERTIKAL#14#</t>
  </si>
  <si>
    <t>liczba</t>
  </si>
  <si>
    <t>ilosc</t>
  </si>
  <si>
    <t>Kolor</t>
  </si>
  <si>
    <t>B</t>
  </si>
  <si>
    <t>L</t>
  </si>
  <si>
    <t>Ster</t>
  </si>
  <si>
    <t>Pac</t>
  </si>
  <si>
    <t>Lster</t>
  </si>
  <si>
    <t>Uch</t>
  </si>
  <si>
    <t>Prot</t>
  </si>
  <si>
    <t>BLam</t>
  </si>
  <si>
    <t>Typ</t>
  </si>
  <si>
    <t>Tuba</t>
  </si>
  <si>
    <t>Gat</t>
  </si>
  <si>
    <t>wym3</t>
  </si>
  <si>
    <t>Sys</t>
  </si>
  <si>
    <t>Obc</t>
  </si>
  <si>
    <t>Model</t>
  </si>
  <si>
    <t>SYST_KOLOR</t>
  </si>
  <si>
    <t>CS</t>
  </si>
  <si>
    <t>Kolor2</t>
  </si>
  <si>
    <t>KolorZam2</t>
  </si>
  <si>
    <t>KOLOR_ZAM</t>
  </si>
  <si>
    <t>IPAN</t>
  </si>
  <si>
    <t>KOR</t>
  </si>
  <si>
    <t>KORKOL</t>
  </si>
  <si>
    <t>EL</t>
  </si>
  <si>
    <t>-</t>
  </si>
  <si>
    <t>VERTIKAL_LAMELE#15#</t>
  </si>
  <si>
    <t>VERTIKAL_SZYNA#16#</t>
  </si>
  <si>
    <t>Ilosc</t>
  </si>
  <si>
    <t>Kod</t>
  </si>
  <si>
    <t>Wymiar</t>
  </si>
  <si>
    <t>KONFIGURACJA</t>
  </si>
  <si>
    <t>RODZAJ</t>
  </si>
  <si>
    <t>KOLOR_SYSTEMU</t>
  </si>
  <si>
    <t>PASEK</t>
  </si>
  <si>
    <t>WYS_RODZ</t>
  </si>
  <si>
    <t>WYMIAROWANIE_SLOPOW</t>
  </si>
  <si>
    <t>ILOSC_PASK</t>
  </si>
  <si>
    <t>KORALIK_OBSL</t>
  </si>
  <si>
    <t>KIESZEN</t>
  </si>
  <si>
    <t>KORALIK_DOL</t>
  </si>
  <si>
    <t>PRODUKT</t>
  </si>
  <si>
    <t>KOLOR TKANINY</t>
  </si>
  <si>
    <t>SZEROKOŚĆ PASKA</t>
  </si>
  <si>
    <t>SZEROKOŚĆ[MM]</t>
  </si>
  <si>
    <t>JAKA WYSOKOŚĆ</t>
  </si>
  <si>
    <t>WYSOKOŚĆ[MM]</t>
  </si>
  <si>
    <t>WYMIARY SLOPA [MM]</t>
  </si>
  <si>
    <t>ILOŚĆ PASKÓW</t>
  </si>
  <si>
    <t>KORALIK</t>
  </si>
  <si>
    <t>DŁUGOŚĆ STEROWANIA [MM]</t>
  </si>
  <si>
    <t>WYKOŃCZENIE DOLNE</t>
  </si>
  <si>
    <t>KOLOR KORALIKA</t>
  </si>
  <si>
    <t>POWIERZCHNIA [M2]</t>
  </si>
  <si>
    <t>1120-127</t>
  </si>
  <si>
    <t>PG #3</t>
  </si>
  <si>
    <t>1138-127</t>
  </si>
  <si>
    <t>PG #2</t>
  </si>
  <si>
    <t>1144-127</t>
  </si>
  <si>
    <t>1145-127</t>
  </si>
  <si>
    <t>1210-127</t>
  </si>
  <si>
    <t>PG #0</t>
  </si>
  <si>
    <t>1216-127</t>
  </si>
  <si>
    <t>1241-127</t>
  </si>
  <si>
    <t>2110-127</t>
  </si>
  <si>
    <t>PG #1</t>
  </si>
  <si>
    <t>2118-127</t>
  </si>
  <si>
    <t>2142-127</t>
  </si>
  <si>
    <t>2210-127</t>
  </si>
  <si>
    <t>3110-127</t>
  </si>
  <si>
    <t>3116-127</t>
  </si>
  <si>
    <t>3118-127</t>
  </si>
  <si>
    <t>3142-127</t>
  </si>
  <si>
    <t>3804-127</t>
  </si>
  <si>
    <t>PG #4</t>
  </si>
  <si>
    <t>3809-127</t>
  </si>
  <si>
    <t>3813-127</t>
  </si>
  <si>
    <t>3858-127</t>
  </si>
  <si>
    <t>3859-127</t>
  </si>
  <si>
    <t>3860-127</t>
  </si>
  <si>
    <t>3870-127</t>
  </si>
  <si>
    <t>3884-127</t>
  </si>
  <si>
    <t>3886-127</t>
  </si>
  <si>
    <t>3888-127</t>
  </si>
  <si>
    <t>3895-127</t>
  </si>
  <si>
    <t>3907-127</t>
  </si>
  <si>
    <t>3908-127</t>
  </si>
  <si>
    <t>3956-127</t>
  </si>
  <si>
    <t>3958-127</t>
  </si>
  <si>
    <t>3971-127</t>
  </si>
  <si>
    <t>3992-127</t>
  </si>
  <si>
    <t>4000-127</t>
  </si>
  <si>
    <t>4001-127</t>
  </si>
  <si>
    <t>4002-127</t>
  </si>
  <si>
    <t>4003-127</t>
  </si>
  <si>
    <t>4004-127</t>
  </si>
  <si>
    <t>4005-127</t>
  </si>
  <si>
    <t>4006-127</t>
  </si>
  <si>
    <t>4007-127</t>
  </si>
  <si>
    <t>4008-127</t>
  </si>
  <si>
    <t>4009-127</t>
  </si>
  <si>
    <t>4022-127</t>
  </si>
  <si>
    <t>4023-127</t>
  </si>
  <si>
    <t>4024-127</t>
  </si>
  <si>
    <t>4025-127</t>
  </si>
  <si>
    <t>4026-127</t>
  </si>
  <si>
    <t>4027-127</t>
  </si>
  <si>
    <t>4028-127</t>
  </si>
  <si>
    <t>4029-127</t>
  </si>
  <si>
    <t>4030-127</t>
  </si>
  <si>
    <t>4031-127</t>
  </si>
  <si>
    <t>4032-127</t>
  </si>
  <si>
    <t>4033-127</t>
  </si>
  <si>
    <t>4034-127</t>
  </si>
  <si>
    <t>4035-127</t>
  </si>
  <si>
    <t>4036-127</t>
  </si>
  <si>
    <t>4037-127</t>
  </si>
  <si>
    <t>4038-127</t>
  </si>
  <si>
    <t>4039-127</t>
  </si>
  <si>
    <t>4040-127</t>
  </si>
  <si>
    <t>4041-127</t>
  </si>
  <si>
    <t>4042-127</t>
  </si>
  <si>
    <t>4043-127</t>
  </si>
  <si>
    <t>4044-127</t>
  </si>
  <si>
    <t>4045-127</t>
  </si>
  <si>
    <t>4046-127</t>
  </si>
  <si>
    <t>4047-127</t>
  </si>
  <si>
    <t>4048-127</t>
  </si>
  <si>
    <t>4049-127</t>
  </si>
  <si>
    <t>4050-127</t>
  </si>
  <si>
    <t>4051-127</t>
  </si>
  <si>
    <t>4052-127</t>
  </si>
  <si>
    <t>4053-127</t>
  </si>
  <si>
    <t>4054-127</t>
  </si>
  <si>
    <t>4067-127</t>
  </si>
  <si>
    <t>4068-127</t>
  </si>
  <si>
    <t>4069-127</t>
  </si>
  <si>
    <t>4070-127</t>
  </si>
  <si>
    <t>4071-127</t>
  </si>
  <si>
    <t>4072-127</t>
  </si>
  <si>
    <t>4073-127</t>
  </si>
  <si>
    <t>4074-127</t>
  </si>
  <si>
    <t>4075-127</t>
  </si>
  <si>
    <t>4080-127</t>
  </si>
  <si>
    <t>4081-127</t>
  </si>
  <si>
    <t>4082-127</t>
  </si>
  <si>
    <t>4083-127</t>
  </si>
  <si>
    <t>4085-127</t>
  </si>
  <si>
    <t>4086-127</t>
  </si>
  <si>
    <t>4087-127</t>
  </si>
  <si>
    <t>4088-127</t>
  </si>
  <si>
    <t>4089-127</t>
  </si>
  <si>
    <t>4090-127</t>
  </si>
  <si>
    <t>4091-127</t>
  </si>
  <si>
    <t>4093-127</t>
  </si>
  <si>
    <t>4094-127</t>
  </si>
  <si>
    <t>4095-127</t>
  </si>
  <si>
    <t>4096-127</t>
  </si>
  <si>
    <t>4097-127</t>
  </si>
  <si>
    <t>4098-127</t>
  </si>
  <si>
    <t>4099-127</t>
  </si>
  <si>
    <t>4100-127</t>
  </si>
  <si>
    <t>4101-127</t>
  </si>
  <si>
    <t>4102-127</t>
  </si>
  <si>
    <t>4103-127</t>
  </si>
  <si>
    <t>4104-127</t>
  </si>
  <si>
    <t>4105-127</t>
  </si>
  <si>
    <t>4106-127</t>
  </si>
  <si>
    <t>4107-127</t>
  </si>
  <si>
    <t>4108-127</t>
  </si>
  <si>
    <t>4109-127</t>
  </si>
  <si>
    <t>4110-127</t>
  </si>
  <si>
    <t>4111-127</t>
  </si>
  <si>
    <t>4112-127</t>
  </si>
  <si>
    <t>4113-127</t>
  </si>
  <si>
    <t>4114-127</t>
  </si>
  <si>
    <t>4115-127</t>
  </si>
  <si>
    <t>4117-127</t>
  </si>
  <si>
    <t>4118-127</t>
  </si>
  <si>
    <t>4120-127</t>
  </si>
  <si>
    <t>4121-127</t>
  </si>
  <si>
    <t>4123-127</t>
  </si>
  <si>
    <t>4124-127</t>
  </si>
  <si>
    <t>4125-127</t>
  </si>
  <si>
    <t>4126-127</t>
  </si>
  <si>
    <t>4128-127</t>
  </si>
  <si>
    <t>4129-127</t>
  </si>
  <si>
    <t>4132-127</t>
  </si>
  <si>
    <t>4133-127</t>
  </si>
  <si>
    <t>4134-127</t>
  </si>
  <si>
    <t>4135-127</t>
  </si>
  <si>
    <t>4136-127</t>
  </si>
  <si>
    <t>4142-127</t>
  </si>
  <si>
    <t>4143-127</t>
  </si>
  <si>
    <t>PG #5</t>
  </si>
  <si>
    <t>4145-127</t>
  </si>
  <si>
    <t>4156-127</t>
  </si>
  <si>
    <t>4157-127</t>
  </si>
  <si>
    <t>4158-127</t>
  </si>
  <si>
    <t>4159-127</t>
  </si>
  <si>
    <t>4161-127</t>
  </si>
  <si>
    <t>4164-127</t>
  </si>
  <si>
    <t>4165-127</t>
  </si>
  <si>
    <t>4166-127</t>
  </si>
  <si>
    <t>4171-127</t>
  </si>
  <si>
    <t>4173-127</t>
  </si>
  <si>
    <t>4174-127</t>
  </si>
  <si>
    <t>4176-127</t>
  </si>
  <si>
    <t>4177-127</t>
  </si>
  <si>
    <t>4178-127</t>
  </si>
  <si>
    <t>4179-127</t>
  </si>
  <si>
    <t>4180-127</t>
  </si>
  <si>
    <t>4181-127</t>
  </si>
  <si>
    <t>4182-127</t>
  </si>
  <si>
    <t>4183-127</t>
  </si>
  <si>
    <t>4184-127</t>
  </si>
  <si>
    <t>4186-127</t>
  </si>
  <si>
    <t>4187-127</t>
  </si>
  <si>
    <t>4188-127</t>
  </si>
  <si>
    <t>4189-127</t>
  </si>
  <si>
    <t>4190-127</t>
  </si>
  <si>
    <t>4191-127</t>
  </si>
  <si>
    <t>4193-127</t>
  </si>
  <si>
    <t>4194-127</t>
  </si>
  <si>
    <t>4195-127</t>
  </si>
  <si>
    <t>4198-127</t>
  </si>
  <si>
    <t>4199-127</t>
  </si>
  <si>
    <t>4200-127</t>
  </si>
  <si>
    <t>4201-127</t>
  </si>
  <si>
    <t>4202-127</t>
  </si>
  <si>
    <t>4203-127</t>
  </si>
  <si>
    <t>4204-127</t>
  </si>
  <si>
    <t>4205-127</t>
  </si>
  <si>
    <t>4206-127</t>
  </si>
  <si>
    <t>4207-127</t>
  </si>
  <si>
    <t>4208-127</t>
  </si>
  <si>
    <t>4209-127</t>
  </si>
  <si>
    <t>4211-127</t>
  </si>
  <si>
    <t>4212-127</t>
  </si>
  <si>
    <t>4213-127</t>
  </si>
  <si>
    <t>4214-127</t>
  </si>
  <si>
    <t>4215-127</t>
  </si>
  <si>
    <t>4216-127</t>
  </si>
  <si>
    <t>4217-127</t>
  </si>
  <si>
    <t>4218-127</t>
  </si>
  <si>
    <t>4219-127</t>
  </si>
  <si>
    <t>4220-127</t>
  </si>
  <si>
    <t>4221-127</t>
  </si>
  <si>
    <t>4222-127</t>
  </si>
  <si>
    <t>4223-127</t>
  </si>
  <si>
    <t>4224-127</t>
  </si>
  <si>
    <t>4225-127</t>
  </si>
  <si>
    <t>4226-127</t>
  </si>
  <si>
    <t>4227-127</t>
  </si>
  <si>
    <t>4231-127</t>
  </si>
  <si>
    <t>4232-127</t>
  </si>
  <si>
    <t>4241-127</t>
  </si>
  <si>
    <t>4242-127</t>
  </si>
  <si>
    <t>4243-127</t>
  </si>
  <si>
    <t>4244-127</t>
  </si>
  <si>
    <t>4245-127</t>
  </si>
  <si>
    <t>4247-127</t>
  </si>
  <si>
    <t>4248-127</t>
  </si>
  <si>
    <t>4249-127</t>
  </si>
  <si>
    <t>4250-127</t>
  </si>
  <si>
    <t>4251-127</t>
  </si>
  <si>
    <t>4252-127</t>
  </si>
  <si>
    <t>4253-127</t>
  </si>
  <si>
    <t>4254-127</t>
  </si>
  <si>
    <t>4255-127</t>
  </si>
  <si>
    <t>4256-127</t>
  </si>
  <si>
    <t>4257-127</t>
  </si>
  <si>
    <t>4258-127</t>
  </si>
  <si>
    <t>4259-127</t>
  </si>
  <si>
    <t>4260-127</t>
  </si>
  <si>
    <t>4261-127</t>
  </si>
  <si>
    <t>4262-127</t>
  </si>
  <si>
    <t>4263-127</t>
  </si>
  <si>
    <t>4264-127</t>
  </si>
  <si>
    <t>4265-127</t>
  </si>
  <si>
    <t>4266-127</t>
  </si>
  <si>
    <t>4267-127</t>
  </si>
  <si>
    <t>4282-127</t>
  </si>
  <si>
    <t>4283-127</t>
  </si>
  <si>
    <t>4284-127</t>
  </si>
  <si>
    <t>6110-127</t>
  </si>
  <si>
    <t>6116-127</t>
  </si>
  <si>
    <t>6148-127</t>
  </si>
  <si>
    <t>6200-127</t>
  </si>
  <si>
    <t>6208-127</t>
  </si>
  <si>
    <t>6212-127</t>
  </si>
  <si>
    <t>6217-127</t>
  </si>
  <si>
    <t>6235-127</t>
  </si>
  <si>
    <t>6238-127</t>
  </si>
  <si>
    <t>6240-127</t>
  </si>
  <si>
    <t>6242-127</t>
  </si>
  <si>
    <t>6296-127</t>
  </si>
  <si>
    <t>6299-127</t>
  </si>
  <si>
    <t>6305-127</t>
  </si>
  <si>
    <t>6310-127</t>
  </si>
  <si>
    <t>6311-127</t>
  </si>
  <si>
    <t>6325-127</t>
  </si>
  <si>
    <t>B0765-127</t>
  </si>
  <si>
    <t>B0767-127</t>
  </si>
  <si>
    <t>B0770-127</t>
  </si>
  <si>
    <t>4058-127</t>
  </si>
  <si>
    <t>B0772-127</t>
  </si>
  <si>
    <t>B0774-127</t>
  </si>
  <si>
    <t>B0780-127</t>
  </si>
  <si>
    <t>B0783-127</t>
  </si>
  <si>
    <t>B0784-127</t>
  </si>
  <si>
    <t>B0785-127</t>
  </si>
  <si>
    <t>B0789-127</t>
  </si>
  <si>
    <t>B0790-127</t>
  </si>
  <si>
    <t>B0791-127</t>
  </si>
  <si>
    <t>B3558-127</t>
  </si>
  <si>
    <t>B3563-127</t>
  </si>
  <si>
    <t>B3564-127</t>
  </si>
  <si>
    <t>B3566-127</t>
  </si>
  <si>
    <t>1120-89</t>
  </si>
  <si>
    <t>1121-89</t>
  </si>
  <si>
    <t>1138-89</t>
  </si>
  <si>
    <t>1144-89</t>
  </si>
  <si>
    <t>1145-89</t>
  </si>
  <si>
    <t>1210-89</t>
  </si>
  <si>
    <t>1216-89</t>
  </si>
  <si>
    <t>1241-89</t>
  </si>
  <si>
    <t>2110-89</t>
  </si>
  <si>
    <t>2118-89</t>
  </si>
  <si>
    <t>2142-89</t>
  </si>
  <si>
    <t>2210-89</t>
  </si>
  <si>
    <t>3110-89</t>
  </si>
  <si>
    <t>3116-89</t>
  </si>
  <si>
    <t>3118-89</t>
  </si>
  <si>
    <t>3142-89</t>
  </si>
  <si>
    <t>3804-89</t>
  </si>
  <si>
    <t>3809-89</t>
  </si>
  <si>
    <t>3813-89</t>
  </si>
  <si>
    <t>3858-89</t>
  </si>
  <si>
    <t>3859-89</t>
  </si>
  <si>
    <t>3860-89</t>
  </si>
  <si>
    <t>3870-89</t>
  </si>
  <si>
    <t>3884-89</t>
  </si>
  <si>
    <t>3886-89</t>
  </si>
  <si>
    <t>3888-89</t>
  </si>
  <si>
    <t>3895-89</t>
  </si>
  <si>
    <t>3907-89</t>
  </si>
  <si>
    <t>3908-89</t>
  </si>
  <si>
    <t>3956-89</t>
  </si>
  <si>
    <t>3958-89</t>
  </si>
  <si>
    <t>3971-89</t>
  </si>
  <si>
    <t>3992-89</t>
  </si>
  <si>
    <t>4000-89</t>
  </si>
  <si>
    <t>4001-89</t>
  </si>
  <si>
    <t>4002-89</t>
  </si>
  <si>
    <t>4003-89</t>
  </si>
  <si>
    <t>4004-89</t>
  </si>
  <si>
    <t>4005-89</t>
  </si>
  <si>
    <t>4006-89</t>
  </si>
  <si>
    <t>4007-89</t>
  </si>
  <si>
    <t>4008-89</t>
  </si>
  <si>
    <t>4009-89</t>
  </si>
  <si>
    <t>4022-89</t>
  </si>
  <si>
    <t>4023-89</t>
  </si>
  <si>
    <t>4024-89</t>
  </si>
  <si>
    <t>4025-89</t>
  </si>
  <si>
    <t>4026-89</t>
  </si>
  <si>
    <t>4029-89</t>
  </si>
  <si>
    <t>4035-89</t>
  </si>
  <si>
    <t>4036-89</t>
  </si>
  <si>
    <t>4037-89</t>
  </si>
  <si>
    <t>4038-89</t>
  </si>
  <si>
    <t>4039-89</t>
  </si>
  <si>
    <t>4040-89</t>
  </si>
  <si>
    <t>4041-89</t>
  </si>
  <si>
    <t>4042-89</t>
  </si>
  <si>
    <t>4043-89</t>
  </si>
  <si>
    <t>4044-89</t>
  </si>
  <si>
    <t>4045-89</t>
  </si>
  <si>
    <t>4046-89</t>
  </si>
  <si>
    <t>4047-89</t>
  </si>
  <si>
    <t>4048-89</t>
  </si>
  <si>
    <t>4049-89</t>
  </si>
  <si>
    <t>4050-89</t>
  </si>
  <si>
    <t>4051-89</t>
  </si>
  <si>
    <t>4052-89</t>
  </si>
  <si>
    <t>4053-89</t>
  </si>
  <si>
    <t>4054-89</t>
  </si>
  <si>
    <t>4058-89</t>
  </si>
  <si>
    <t>4067-89</t>
  </si>
  <si>
    <t>4068-89</t>
  </si>
  <si>
    <t>4069-89</t>
  </si>
  <si>
    <t>4070-89</t>
  </si>
  <si>
    <t>4071-89</t>
  </si>
  <si>
    <t>4072-89</t>
  </si>
  <si>
    <t>4073-89</t>
  </si>
  <si>
    <t>4074-89</t>
  </si>
  <si>
    <t>4075-89</t>
  </si>
  <si>
    <t>4080-89</t>
  </si>
  <si>
    <t>4081-89</t>
  </si>
  <si>
    <t>4082-89</t>
  </si>
  <si>
    <t>4083-89</t>
  </si>
  <si>
    <t>4085-89</t>
  </si>
  <si>
    <t>4086-89</t>
  </si>
  <si>
    <t>4087-89</t>
  </si>
  <si>
    <t>4088-89</t>
  </si>
  <si>
    <t>4089-89</t>
  </si>
  <si>
    <t>4090-89</t>
  </si>
  <si>
    <t>4091-89</t>
  </si>
  <si>
    <t>4093-89</t>
  </si>
  <si>
    <t>4094-89</t>
  </si>
  <si>
    <t>4095-89</t>
  </si>
  <si>
    <t>4096-89</t>
  </si>
  <si>
    <t>4097-89</t>
  </si>
  <si>
    <t>4098-89</t>
  </si>
  <si>
    <t>4099-89</t>
  </si>
  <si>
    <t>4100-89</t>
  </si>
  <si>
    <t>4101-89</t>
  </si>
  <si>
    <t>4102-89</t>
  </si>
  <si>
    <t>4103-89</t>
  </si>
  <si>
    <t>4104-89</t>
  </si>
  <si>
    <t>4105-89</t>
  </si>
  <si>
    <t>4106-89</t>
  </si>
  <si>
    <t>4107-89</t>
  </si>
  <si>
    <t>4108-89</t>
  </si>
  <si>
    <t>4109-89</t>
  </si>
  <si>
    <t>4110-89</t>
  </si>
  <si>
    <t>4111-89</t>
  </si>
  <si>
    <t>4112-89</t>
  </si>
  <si>
    <t>4113-89</t>
  </si>
  <si>
    <t>4114-89</t>
  </si>
  <si>
    <t>4115-89</t>
  </si>
  <si>
    <t>4117-89</t>
  </si>
  <si>
    <t>4118-89</t>
  </si>
  <si>
    <t>4120-89</t>
  </si>
  <si>
    <t>4121-89</t>
  </si>
  <si>
    <t>4123-89</t>
  </si>
  <si>
    <t>4124-89</t>
  </si>
  <si>
    <t>4125-89</t>
  </si>
  <si>
    <t>4126-89</t>
  </si>
  <si>
    <t>4128-89</t>
  </si>
  <si>
    <t>4129-89</t>
  </si>
  <si>
    <t>4132-89</t>
  </si>
  <si>
    <t>4133-89</t>
  </si>
  <si>
    <t>4134-89</t>
  </si>
  <si>
    <t>4135-89</t>
  </si>
  <si>
    <t>4136-89</t>
  </si>
  <si>
    <t>4142-89</t>
  </si>
  <si>
    <t>4143-89</t>
  </si>
  <si>
    <t>4145-89</t>
  </si>
  <si>
    <t>4156-89</t>
  </si>
  <si>
    <t>4157-89</t>
  </si>
  <si>
    <t>4158-89</t>
  </si>
  <si>
    <t>4159-89</t>
  </si>
  <si>
    <t>4161-89</t>
  </si>
  <si>
    <t>4164-89</t>
  </si>
  <si>
    <t>4165-89</t>
  </si>
  <si>
    <t>4166-89</t>
  </si>
  <si>
    <t>4171-89</t>
  </si>
  <si>
    <t>4173-89</t>
  </si>
  <si>
    <t>4174-89</t>
  </si>
  <si>
    <t>4176-89</t>
  </si>
  <si>
    <t>4177-89</t>
  </si>
  <si>
    <t>4178-89</t>
  </si>
  <si>
    <t>4179-89</t>
  </si>
  <si>
    <t>4180-89</t>
  </si>
  <si>
    <t>4181-89</t>
  </si>
  <si>
    <t>4182-89</t>
  </si>
  <si>
    <t>4183-89</t>
  </si>
  <si>
    <t>4184-89</t>
  </si>
  <si>
    <t>4186-89</t>
  </si>
  <si>
    <t>4187-89</t>
  </si>
  <si>
    <t>4188-89</t>
  </si>
  <si>
    <t>4189-89</t>
  </si>
  <si>
    <t>4190-89</t>
  </si>
  <si>
    <t>4191-89</t>
  </si>
  <si>
    <t>4193-89</t>
  </si>
  <si>
    <t>4194-89</t>
  </si>
  <si>
    <t>4195-89</t>
  </si>
  <si>
    <t>4198-89</t>
  </si>
  <si>
    <t>4199-89</t>
  </si>
  <si>
    <t>4200-89</t>
  </si>
  <si>
    <t>4201-89</t>
  </si>
  <si>
    <t>4202-89</t>
  </si>
  <si>
    <t>4203-89</t>
  </si>
  <si>
    <t>4204-89</t>
  </si>
  <si>
    <t>4205-89</t>
  </si>
  <si>
    <t>4206-89</t>
  </si>
  <si>
    <t>4207-89</t>
  </si>
  <si>
    <t>4208-89</t>
  </si>
  <si>
    <t>4209-89</t>
  </si>
  <si>
    <t>4211-89</t>
  </si>
  <si>
    <t>4212-89</t>
  </si>
  <si>
    <t>4213-89</t>
  </si>
  <si>
    <t>4214-89</t>
  </si>
  <si>
    <t>4215-89</t>
  </si>
  <si>
    <t>4216-89</t>
  </si>
  <si>
    <t>4217-89</t>
  </si>
  <si>
    <t>4218-89</t>
  </si>
  <si>
    <t>4219-89</t>
  </si>
  <si>
    <t>4220-89</t>
  </si>
  <si>
    <t>4221-89</t>
  </si>
  <si>
    <t>4222-89</t>
  </si>
  <si>
    <t>4223-89</t>
  </si>
  <si>
    <t>4224-89</t>
  </si>
  <si>
    <t>4225-89</t>
  </si>
  <si>
    <t>4226-89</t>
  </si>
  <si>
    <t>4227-89</t>
  </si>
  <si>
    <t>4231-89</t>
  </si>
  <si>
    <t>4232-89</t>
  </si>
  <si>
    <t>4241-89</t>
  </si>
  <si>
    <t>4242-89</t>
  </si>
  <si>
    <t>4243-89</t>
  </si>
  <si>
    <t>4244-89</t>
  </si>
  <si>
    <t>4245-89</t>
  </si>
  <si>
    <t>4247-89</t>
  </si>
  <si>
    <t>4248-89</t>
  </si>
  <si>
    <t>4249-89</t>
  </si>
  <si>
    <t>4250-89</t>
  </si>
  <si>
    <t>4251-89</t>
  </si>
  <si>
    <t>4252-89</t>
  </si>
  <si>
    <t>4253-89</t>
  </si>
  <si>
    <t>4254-89</t>
  </si>
  <si>
    <t>4255-89</t>
  </si>
  <si>
    <t>4256-89</t>
  </si>
  <si>
    <t>4257-89</t>
  </si>
  <si>
    <t>4258-89</t>
  </si>
  <si>
    <t>4259-89</t>
  </si>
  <si>
    <t>4260-89</t>
  </si>
  <si>
    <t>4261-89</t>
  </si>
  <si>
    <t>4262-89</t>
  </si>
  <si>
    <t>4263-89</t>
  </si>
  <si>
    <t>4264-89</t>
  </si>
  <si>
    <t>4265-89</t>
  </si>
  <si>
    <t>4266-89</t>
  </si>
  <si>
    <t>4267-89</t>
  </si>
  <si>
    <t>4282-89</t>
  </si>
  <si>
    <t>4283-89</t>
  </si>
  <si>
    <t>4284-89</t>
  </si>
  <si>
    <t>6110-89</t>
  </si>
  <si>
    <t>6116-89</t>
  </si>
  <si>
    <t>6148-89</t>
  </si>
  <si>
    <t>6200-89</t>
  </si>
  <si>
    <t>6208-89</t>
  </si>
  <si>
    <t>6212-89</t>
  </si>
  <si>
    <t>6217-89</t>
  </si>
  <si>
    <t>6235-89</t>
  </si>
  <si>
    <t>6238-89</t>
  </si>
  <si>
    <t>6240-89</t>
  </si>
  <si>
    <t>6242-89</t>
  </si>
  <si>
    <t>6296-89</t>
  </si>
  <si>
    <t>6299-89</t>
  </si>
  <si>
    <t>6305-89</t>
  </si>
  <si>
    <t>6310-89</t>
  </si>
  <si>
    <t>6311-89</t>
  </si>
  <si>
    <t>6325-89</t>
  </si>
  <si>
    <t>B0765-89</t>
  </si>
  <si>
    <t>B0767-89</t>
  </si>
  <si>
    <t>B0770-89</t>
  </si>
  <si>
    <t>B0772-89</t>
  </si>
  <si>
    <t>B0774-89</t>
  </si>
  <si>
    <t>B0780-89</t>
  </si>
  <si>
    <t>B0783-89</t>
  </si>
  <si>
    <t>B0784-89</t>
  </si>
  <si>
    <t>B0785-89</t>
  </si>
  <si>
    <t>B0789-89</t>
  </si>
  <si>
    <t>B0790-89</t>
  </si>
  <si>
    <t>B0791-89</t>
  </si>
  <si>
    <t>B3558-89</t>
  </si>
  <si>
    <t>B3563-89</t>
  </si>
  <si>
    <t>B3564-89</t>
  </si>
  <si>
    <t>B3566-89</t>
  </si>
  <si>
    <t>KOLOR-EFOR</t>
  </si>
  <si>
    <t>KOLOR-EFOR-Opis</t>
  </si>
  <si>
    <t>KOLOR-PROD</t>
  </si>
  <si>
    <t>F</t>
  </si>
  <si>
    <t>PEŁEN WERTIKAL</t>
  </si>
  <si>
    <t>TYLKO PASKI</t>
  </si>
  <si>
    <t>S</t>
  </si>
  <si>
    <t>TYLKO SZYNA</t>
  </si>
  <si>
    <t>#14#</t>
  </si>
  <si>
    <t>#15#</t>
  </si>
  <si>
    <t>#16#</t>
  </si>
  <si>
    <t>&lt;NULL&gt;</t>
  </si>
  <si>
    <t>B1</t>
  </si>
  <si>
    <t>50MM</t>
  </si>
  <si>
    <t>B2</t>
  </si>
  <si>
    <t>89MM</t>
  </si>
  <si>
    <t>B3</t>
  </si>
  <si>
    <t>127MM</t>
  </si>
  <si>
    <t>B4</t>
  </si>
  <si>
    <t>250MM</t>
  </si>
  <si>
    <t>PASEK-EFOR</t>
  </si>
  <si>
    <t>PASEK-EFOR-Opis</t>
  </si>
  <si>
    <t>BLAM-PROD</t>
  </si>
  <si>
    <t>GAT-PROD</t>
  </si>
  <si>
    <t>GAT-PROD-OPIS</t>
  </si>
  <si>
    <t>MODEL-PROD</t>
  </si>
  <si>
    <t>MODEL-PROD-OPIS</t>
  </si>
  <si>
    <t>Sz2</t>
  </si>
  <si>
    <t>0204</t>
  </si>
  <si>
    <t>C</t>
  </si>
  <si>
    <t>MK</t>
  </si>
  <si>
    <t>D</t>
  </si>
  <si>
    <t>C/D</t>
  </si>
  <si>
    <t>T</t>
  </si>
  <si>
    <t>P</t>
  </si>
  <si>
    <t>ElBat</t>
  </si>
  <si>
    <t>5HBR</t>
  </si>
  <si>
    <t>Oc1</t>
  </si>
  <si>
    <t>Basic</t>
  </si>
  <si>
    <t>Oc2</t>
  </si>
  <si>
    <t>Oc3</t>
  </si>
  <si>
    <t>Oc4</t>
  </si>
  <si>
    <t>Pac_opis</t>
  </si>
  <si>
    <t>Prot_opis</t>
  </si>
  <si>
    <t>Sterowanie Lewe</t>
  </si>
  <si>
    <t>C_V15M-CH</t>
  </si>
  <si>
    <t>C_V15M-SN</t>
  </si>
  <si>
    <t>C_V15M-GM</t>
  </si>
  <si>
    <t>C_V15M-B</t>
  </si>
  <si>
    <t>C_V15M-OB</t>
  </si>
  <si>
    <t>C_V15M-C</t>
  </si>
  <si>
    <t>C_V15M-BN</t>
  </si>
  <si>
    <t>C_V15M-GN</t>
  </si>
  <si>
    <t>D_V15M-CH</t>
  </si>
  <si>
    <t>D_V15M-SN</t>
  </si>
  <si>
    <t>D_V15M-GM</t>
  </si>
  <si>
    <t>D_V15M-B</t>
  </si>
  <si>
    <t>D_V15M-OB</t>
  </si>
  <si>
    <t>D_V15M-C</t>
  </si>
  <si>
    <t>D_V15M-BN</t>
  </si>
  <si>
    <t>D_V15M-GN</t>
  </si>
  <si>
    <t>Linke Bedienseite Chrom</t>
  </si>
  <si>
    <t>Linke Bedienseite Satin Nickel</t>
  </si>
  <si>
    <t>Linke Bedienseite Gold Matt</t>
  </si>
  <si>
    <t>Linke Bedienseite Messing</t>
  </si>
  <si>
    <t>Linke Bedienseite Altmessing</t>
  </si>
  <si>
    <t>Linke Bedienseite Kupfer</t>
  </si>
  <si>
    <t>Linke Bedienseite Schwarz Nickel</t>
  </si>
  <si>
    <t>Linke Bedienseite Grau Nickel</t>
  </si>
  <si>
    <t>Rechte Bedienseite Chrom</t>
  </si>
  <si>
    <t>Rechte Bedienseite Satin Nickel</t>
  </si>
  <si>
    <t>Rechte Bedienseite Gold Matt</t>
  </si>
  <si>
    <t>Rechte Bedienseite Messing</t>
  </si>
  <si>
    <t>Rechte Bedienseite Altmessing</t>
  </si>
  <si>
    <t>Rechte Bedienseite Kupfer</t>
  </si>
  <si>
    <t>Rechte Bedienseite Schwarz Nickel</t>
  </si>
  <si>
    <t>Rechte Bedienseite Grau Nickel</t>
  </si>
  <si>
    <t>Typ 3 z podwójnym sterowaniem</t>
  </si>
  <si>
    <t>Sterowanie Prawe</t>
  </si>
  <si>
    <t>Pakiet po stronie lewej</t>
  </si>
  <si>
    <t>Pakiet po stronie prawej</t>
  </si>
  <si>
    <t>Pakiet na środku</t>
  </si>
  <si>
    <t>Szerokość lameli w mm</t>
  </si>
  <si>
    <t>Brak protekcji</t>
  </si>
  <si>
    <t>Protekcja z lewej</t>
  </si>
  <si>
    <t>Protekcja z prawej</t>
  </si>
  <si>
    <t>Plafon</t>
  </si>
  <si>
    <t>Slope</t>
  </si>
  <si>
    <t>Elektryk</t>
  </si>
  <si>
    <t>Elektryk (obrót lameli)</t>
  </si>
  <si>
    <t>Standard</t>
  </si>
  <si>
    <t>Monokomando</t>
  </si>
  <si>
    <t>biała</t>
  </si>
  <si>
    <t>czarna</t>
  </si>
  <si>
    <t>Brak</t>
  </si>
  <si>
    <t>Uchwyt szybkiego montażu 90576000; dopłata N 4,90 €</t>
  </si>
  <si>
    <t>Klips</t>
  </si>
  <si>
    <t>Klips ocynkowany</t>
  </si>
  <si>
    <t>Pakiet i sterowanie po tej samej stronie</t>
  </si>
  <si>
    <t>Pakiet i sterowanie po przeciwnych stronach</t>
  </si>
  <si>
    <t>Pakiet na środku i 2 sterowania</t>
  </si>
  <si>
    <t>Pakiet na środku i 1 sterowanie z boku</t>
  </si>
  <si>
    <t>Pakiety na skraju i jedno sterowanie z boku</t>
  </si>
  <si>
    <t>M</t>
  </si>
  <si>
    <t>Pakiet po obu stronach</t>
  </si>
  <si>
    <t>Obc1</t>
  </si>
  <si>
    <t>Obc2</t>
  </si>
  <si>
    <t>Obciąznik lameli - standard z łańcuszkiem</t>
  </si>
  <si>
    <t>Obciążnik lameli bez łańcuszka - wkładany w kieszeń - DOPŁATA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</si>
  <si>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</si>
  <si>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</si>
  <si>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</si>
  <si>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</si>
  <si>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</si>
  <si>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</si>
  <si>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</si>
  <si>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</si>
  <si>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</si>
  <si>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</si>
  <si>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</si>
  <si>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</si>
  <si>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</si>
  <si>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</si>
  <si>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</si>
  <si>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</si>
  <si>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</si>
  <si>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</si>
  <si>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</si>
  <si>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</si>
  <si>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</si>
  <si>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</si>
  <si>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</si>
  <si>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Koralik metalowy do lameli aluminiowych</t>
  </si>
  <si>
    <t>KorMet</t>
  </si>
  <si>
    <t>Obc3</t>
  </si>
  <si>
    <t>SZ-OW089 eigenschobene Gewichte für freihängende Lamellen</t>
  </si>
  <si>
    <t>SZOW127 eigenschobene Gewichte für freihängende Lamellen</t>
  </si>
  <si>
    <t>Split</t>
  </si>
  <si>
    <t>Split (2in1)</t>
  </si>
  <si>
    <t>srebrny</t>
  </si>
  <si>
    <t>ST</t>
  </si>
  <si>
    <t>SYST_KOLOR_opis</t>
  </si>
  <si>
    <t>N</t>
  </si>
  <si>
    <t>bez zabezpieczenia</t>
  </si>
  <si>
    <t>z zabezpieczeniem</t>
  </si>
  <si>
    <t>BogenE</t>
  </si>
  <si>
    <t>Bogen - Erker (Łuk poziomo)</t>
  </si>
  <si>
    <t>BogenT</t>
  </si>
  <si>
    <t>Bogen - Torbogen (Łuk pionowo)</t>
  </si>
  <si>
    <t>Slope (model 01)</t>
  </si>
  <si>
    <t>Slope (model 02)</t>
  </si>
  <si>
    <t>Slope (model 03)</t>
  </si>
  <si>
    <t>Slope (model 04)</t>
  </si>
  <si>
    <t>Slope (model 05)</t>
  </si>
  <si>
    <t>Slope (model 06)</t>
  </si>
  <si>
    <t>Slope (model 07)</t>
  </si>
  <si>
    <t>Slope (model 08)</t>
  </si>
  <si>
    <t>Slope (model 09)</t>
  </si>
  <si>
    <t>Wandträger weiß 60-100 mm (Wysięgnik biały 60-100 mm)</t>
  </si>
  <si>
    <t>Wandträger weiß 100-150 mm (Wysięgnik biały 100-150 mm)</t>
  </si>
  <si>
    <t>Wandträger weiß 150-200 mm (Wysięgnik biały 150-200 mm)</t>
  </si>
  <si>
    <t>Wandträger verzinkt 60-100 mm (Wysięgnik ocynkowany 60-100 mm)</t>
  </si>
  <si>
    <t>Wandträger verzinkt 100-150 mm (Wysięgnik ocynkowany 100-150 mm)</t>
  </si>
  <si>
    <t>Wandträger verzinkt 150-200 mm (Wysięgnik ocynkowany 150-200 mm)</t>
  </si>
  <si>
    <t>Sz3</t>
  </si>
  <si>
    <t>Sz4</t>
  </si>
  <si>
    <t>Cz2</t>
  </si>
  <si>
    <t>Cz3</t>
  </si>
  <si>
    <t>Cz4</t>
  </si>
  <si>
    <t>Wandträger grau 60-100 mm (Wysięgnik szary 60-100 mm)</t>
  </si>
  <si>
    <t>Wandträger grau 100-150 mm (Wysięgnik szary 100-150 mm)</t>
  </si>
  <si>
    <t>Wandträger grau 150-200 mm (Wysięgnik szary 150-200 mm)</t>
  </si>
  <si>
    <t>Wandträger schwarz 60-100 mm (Wysięgnik czarny 60-100 mm)</t>
  </si>
  <si>
    <t>Wandträger schwarz 100-150 mm (Wysięgnik czarny 100-150 mm)</t>
  </si>
  <si>
    <t>Wandträger schwarz 150-200 mm (Wysięgnik czarny 150-200 mm)</t>
  </si>
  <si>
    <t>Slope (model 10)</t>
  </si>
  <si>
    <t>Slope (model 11)</t>
  </si>
  <si>
    <t>Slope (model 12)</t>
  </si>
  <si>
    <t>Slope (model 13)</t>
  </si>
  <si>
    <t>Slope (model 14)</t>
  </si>
  <si>
    <t>Slope (model 15)</t>
  </si>
  <si>
    <t>Slope (model 16)</t>
  </si>
  <si>
    <t>Slope (model 18)</t>
  </si>
  <si>
    <t>Slope (model 17)</t>
  </si>
  <si>
    <t>Slope (model 19)</t>
  </si>
  <si>
    <t>Slope (model 20)</t>
  </si>
  <si>
    <t>Slope (model 21)</t>
  </si>
  <si>
    <t>Slope (model 22)</t>
  </si>
  <si>
    <t>Clasic (model 00)</t>
  </si>
  <si>
    <t>TYP-PROD</t>
  </si>
  <si>
    <t>TYP-PROD-OPIS</t>
  </si>
  <si>
    <t>KOLOR_SYSTEMU_EFOR</t>
  </si>
  <si>
    <t>KOLOR_SYSTEMU_EFOR-OPIS</t>
  </si>
  <si>
    <t>_EFOR</t>
  </si>
  <si>
    <t>_EFOR-OPIS</t>
  </si>
  <si>
    <t>STER-PROD</t>
  </si>
  <si>
    <t>STER-OPIS</t>
  </si>
  <si>
    <t>BLAM-PROD-OPIS</t>
  </si>
  <si>
    <t>Uch-PROD</t>
  </si>
  <si>
    <t>Uch-PROD_opis</t>
  </si>
  <si>
    <t>Obc-PROD</t>
  </si>
  <si>
    <t>Obc-PROD_opis</t>
  </si>
  <si>
    <t>CS-PROD</t>
  </si>
  <si>
    <t>CS-PROD_opis</t>
  </si>
  <si>
    <t>black</t>
  </si>
  <si>
    <t>grey</t>
  </si>
  <si>
    <t xml:space="preserve">white </t>
  </si>
  <si>
    <t>KORKOL-PROD</t>
  </si>
  <si>
    <t>KORKOL-PROD_opis</t>
  </si>
  <si>
    <t>grupa_cenowa</t>
  </si>
  <si>
    <t>OCHRONA_CHILD_SAFETY-EFOR</t>
  </si>
  <si>
    <t>OCHRONA_CHILD_SAFETY-EFOR-OPIS</t>
  </si>
  <si>
    <t>CS_YES</t>
  </si>
  <si>
    <t>DIN EN 13120: 2009</t>
  </si>
  <si>
    <t>CS_NO</t>
  </si>
  <si>
    <t>SUFIT</t>
  </si>
  <si>
    <t>W</t>
  </si>
  <si>
    <t>SCIANA</t>
  </si>
  <si>
    <t>BIAŁY</t>
  </si>
  <si>
    <t>G</t>
  </si>
  <si>
    <t>SZARY</t>
  </si>
  <si>
    <t>CZARNY</t>
  </si>
  <si>
    <t>KORALIK_DOL-EFOR</t>
  </si>
  <si>
    <t>KORALIK_DOL-EFOR-OPIS</t>
  </si>
  <si>
    <t>MONTAZ-EFOR</t>
  </si>
  <si>
    <t>MONTAZ-EFOR-OPIS</t>
  </si>
  <si>
    <t>?</t>
  </si>
  <si>
    <t>KIESZEN-EFOR</t>
  </si>
  <si>
    <t>KIESZEN-EFOR-OPIS</t>
  </si>
  <si>
    <t>STA</t>
  </si>
  <si>
    <t>STANDARD Z KORALIKIEM</t>
  </si>
  <si>
    <t>SCHW</t>
  </si>
  <si>
    <t>ZGRZANA KIESZEŃ DOLNA</t>
  </si>
  <si>
    <t>FH</t>
  </si>
  <si>
    <t>STANDARD BEZ KORALIKA</t>
  </si>
  <si>
    <t>MOTOR-EFOR</t>
  </si>
  <si>
    <t>ZASILANIE-EFOR</t>
  </si>
  <si>
    <t>PILOT-EFOR</t>
  </si>
  <si>
    <t>AUTOMATYKA-EFOR</t>
  </si>
  <si>
    <t>MOTOR-EFOR-OPIS</t>
  </si>
  <si>
    <t>ZASILANIE-EFOR-OPIS</t>
  </si>
  <si>
    <t>PILOT-EFOR-OPIS</t>
  </si>
  <si>
    <t>AUTOMATYKA-EFOR-OPIS</t>
  </si>
  <si>
    <t>Mxx-PROD</t>
  </si>
  <si>
    <t>Pxx-PROD</t>
  </si>
  <si>
    <t>Rxx-PROD</t>
  </si>
  <si>
    <t>Axx-PROD</t>
  </si>
  <si>
    <t>Mxx-PROD-OPIS</t>
  </si>
  <si>
    <t>Pxx-PROD-OPIS</t>
  </si>
  <si>
    <t>Rxx-PROD-OPIS</t>
  </si>
  <si>
    <t>Axx-PROD-OPIS</t>
  </si>
  <si>
    <t>M57</t>
  </si>
  <si>
    <t>IQ3-Motor wh</t>
  </si>
  <si>
    <t>M58</t>
  </si>
  <si>
    <t>IQ3-Motor gr</t>
  </si>
  <si>
    <t>M59</t>
  </si>
  <si>
    <t>IQ3-Motor bl</t>
  </si>
  <si>
    <t>M60</t>
  </si>
  <si>
    <t>IQ3-Motor RAL 7016</t>
  </si>
  <si>
    <t>M61</t>
  </si>
  <si>
    <t>IQ3-Motor RTS wh</t>
  </si>
  <si>
    <t>M62</t>
  </si>
  <si>
    <t>IQ3-Motor RTS gr</t>
  </si>
  <si>
    <t>M63</t>
  </si>
  <si>
    <t>IQ3-Motor RTS bl</t>
  </si>
  <si>
    <t>M64</t>
  </si>
  <si>
    <t>IQ3-Motor RTS RAL 7016</t>
  </si>
  <si>
    <t>M00</t>
  </si>
  <si>
    <t>R08</t>
  </si>
  <si>
    <t>Situo 1 RTS</t>
  </si>
  <si>
    <t>R09</t>
  </si>
  <si>
    <t>Situo 5 RTS</t>
  </si>
  <si>
    <t>R10</t>
  </si>
  <si>
    <t>Situo 1 Var RTS Pure II</t>
  </si>
  <si>
    <t>R11</t>
  </si>
  <si>
    <t>Situo 5 Var RTS Pure II</t>
  </si>
  <si>
    <t>R18</t>
  </si>
  <si>
    <t>Telis 16 RTS Pure</t>
  </si>
  <si>
    <t>R00</t>
  </si>
  <si>
    <t>A04</t>
  </si>
  <si>
    <t>TaHoma® Switch Pro</t>
  </si>
  <si>
    <t>A00</t>
  </si>
  <si>
    <t>P00</t>
  </si>
  <si>
    <t>OPIS_CENY</t>
  </si>
  <si>
    <t>OPIS_RABATU</t>
  </si>
  <si>
    <t>6200</t>
  </si>
  <si>
    <t>B0765</t>
  </si>
  <si>
    <t>B0767</t>
  </si>
  <si>
    <t>B0770</t>
  </si>
  <si>
    <t>B0772</t>
  </si>
  <si>
    <t>B0774</t>
  </si>
  <si>
    <t>B0780</t>
  </si>
  <si>
    <t>B0783</t>
  </si>
  <si>
    <t>B0784</t>
  </si>
  <si>
    <t>B0785</t>
  </si>
  <si>
    <t>B0789</t>
  </si>
  <si>
    <t>B0790</t>
  </si>
  <si>
    <t>B0791</t>
  </si>
  <si>
    <t>B3558</t>
  </si>
  <si>
    <t>B3563</t>
  </si>
  <si>
    <t>B3564</t>
  </si>
  <si>
    <t>B3566</t>
  </si>
  <si>
    <t>STANDARD</t>
  </si>
  <si>
    <t>MKK</t>
  </si>
  <si>
    <t>MONOKOMANDO</t>
  </si>
  <si>
    <t>ELEKTRYCZNE</t>
  </si>
  <si>
    <t>RODZAJ-EFOR</t>
  </si>
  <si>
    <t>RODZAJ-EFOR-Opis</t>
  </si>
  <si>
    <t>1L</t>
  </si>
  <si>
    <t>LINKS</t>
  </si>
  <si>
    <t>1R</t>
  </si>
  <si>
    <t>RECHTS</t>
  </si>
  <si>
    <t>2L</t>
  </si>
  <si>
    <t>2R</t>
  </si>
  <si>
    <t>3L</t>
  </si>
  <si>
    <t>3R</t>
  </si>
  <si>
    <t>4L</t>
  </si>
  <si>
    <t>4R</t>
  </si>
  <si>
    <t>MITTE</t>
  </si>
  <si>
    <t>01S</t>
  </si>
  <si>
    <t>SLOPE</t>
  </si>
  <si>
    <t>02S</t>
  </si>
  <si>
    <t>03S</t>
  </si>
  <si>
    <t>04S</t>
  </si>
  <si>
    <t>05S</t>
  </si>
  <si>
    <t>06S</t>
  </si>
  <si>
    <t>07S</t>
  </si>
  <si>
    <t>08S</t>
  </si>
  <si>
    <t>09S</t>
  </si>
  <si>
    <t>10S</t>
  </si>
  <si>
    <t>11S</t>
  </si>
  <si>
    <t>12S</t>
  </si>
  <si>
    <t>13S</t>
  </si>
  <si>
    <t>14S</t>
  </si>
  <si>
    <t>15S</t>
  </si>
  <si>
    <t>16S</t>
  </si>
  <si>
    <t>17S</t>
  </si>
  <si>
    <t>18S</t>
  </si>
  <si>
    <t>19S</t>
  </si>
  <si>
    <t>20S</t>
  </si>
  <si>
    <t>21S</t>
  </si>
  <si>
    <t>22S</t>
  </si>
  <si>
    <t>MODEL-EFOR</t>
  </si>
  <si>
    <t>MODEL-EFOR-Opis</t>
  </si>
  <si>
    <t>Sterowanie po obu stronach</t>
  </si>
  <si>
    <t>SREBRNY</t>
  </si>
  <si>
    <t>2,3,4 ?</t>
  </si>
  <si>
    <t>KORALIK_KOLOR</t>
  </si>
  <si>
    <t>KORALIK_KOLOR_opis</t>
  </si>
  <si>
    <t>KORALIK_OBSL_SYSTEMU_EFOR</t>
  </si>
  <si>
    <t>KORALIK_OBSL_EFOR-OPIS</t>
  </si>
  <si>
    <t>KW</t>
  </si>
  <si>
    <t>PLASTIKOWY BIAŁY</t>
  </si>
  <si>
    <t>KG</t>
  </si>
  <si>
    <t>PLASTIKOWY SZARY</t>
  </si>
  <si>
    <t>KB</t>
  </si>
  <si>
    <t>PLASTIKOWY CZARNY</t>
  </si>
  <si>
    <t>MS</t>
  </si>
  <si>
    <t>METALOWY SREBRNY</t>
  </si>
  <si>
    <t>Bedienseite Chrom</t>
  </si>
  <si>
    <t>_V15M-CH</t>
  </si>
  <si>
    <t>Brak proteksci w EFOR</t>
  </si>
  <si>
    <t>department</t>
  </si>
  <si>
    <t>&lt;null&gt;</t>
  </si>
  <si>
    <t>WYMIAROWANIE_SLOPOW.TYP</t>
  </si>
  <si>
    <t>WYMIAROWANIE_SLOPOW.WYM_B</t>
  </si>
  <si>
    <t>WYMIAROWANIE_SLOPOW.WYM_B1</t>
  </si>
  <si>
    <t>WYMIAROWANIE_SLOPOW.WYM_H</t>
  </si>
  <si>
    <t>WYMIAROWANIE_SLOPOW.WYM_H1</t>
  </si>
  <si>
    <t>WYMIAROWANIE_SLOPOW.WYM_H2</t>
  </si>
  <si>
    <t>SKOS TYP</t>
  </si>
  <si>
    <t>B [mm]</t>
  </si>
  <si>
    <t>B1 [mm]</t>
  </si>
  <si>
    <t>H [mm]</t>
  </si>
  <si>
    <t>H1 [mm]</t>
  </si>
  <si>
    <t>H2 [mm]</t>
  </si>
  <si>
    <t>Gildenveld 23</t>
  </si>
  <si>
    <t>Zeewolde</t>
  </si>
  <si>
    <t>Maxsol v.o.f.</t>
  </si>
  <si>
    <t>3947 - 16791 Wolfheze</t>
  </si>
  <si>
    <t>NL</t>
  </si>
  <si>
    <t>verkoop@maxsol.nl</t>
  </si>
  <si>
    <t>0031 36 530 71 50</t>
  </si>
  <si>
    <t>1.01.1970, 01:00:00</t>
  </si>
  <si>
    <t>NL8031.41.816.B01</t>
  </si>
  <si>
    <t>Maxsol</t>
  </si>
  <si>
    <t>3892 DC</t>
  </si>
  <si>
    <t>Positie 1</t>
  </si>
  <si>
    <t>VERTIKAL</t>
  </si>
  <si>
    <t>VERTICALE JALOEZIE</t>
  </si>
  <si>
    <t>HUISAUTOMATISERING</t>
  </si>
  <si>
    <t>NETTOPRIJS NA KORTING [€]</t>
  </si>
  <si>
    <t>LIJSTPRIJS RABAT</t>
  </si>
  <si>
    <t>TOTAALPRIJS [€] bruto</t>
  </si>
  <si>
    <t>LIJSTPRIJS [€] bruto</t>
  </si>
  <si>
    <t>BEDIENINGSLENGTE [MM]</t>
  </si>
  <si>
    <t>RABAT EL</t>
  </si>
  <si>
    <t>TOESLAG EL [€] brutto</t>
  </si>
  <si>
    <t>TOESLAG [€] bruto</t>
  </si>
  <si>
    <t>AANTAL STROKEN</t>
  </si>
  <si>
    <t>AANTAL</t>
  </si>
  <si>
    <t>ONDERSTE TYPE</t>
  </si>
  <si>
    <t>WIT</t>
  </si>
  <si>
    <t>SYSTEMKLUR</t>
  </si>
  <si>
    <t>STOFF</t>
  </si>
  <si>
    <t>RAIL</t>
  </si>
  <si>
    <t>KONFIGURATION</t>
  </si>
  <si>
    <t>KLUR KETE ONDERSTE ZAK</t>
  </si>
  <si>
    <t>KUNSTSTOF WIT</t>
  </si>
  <si>
    <t>BEDRIJFSKETEN</t>
  </si>
  <si>
    <t>Controle en slatpakket rechts</t>
  </si>
  <si>
    <t>DECKE</t>
  </si>
  <si>
    <t>MOTAGE</t>
  </si>
  <si>
    <t>CHILD SAFE</t>
  </si>
  <si>
    <t>LIJSTPRIJS [€] bruto=33.41</t>
  </si>
  <si>
    <t>KONFIGURATION=S,CONTROLETYPE=S,MODEL=1R,SYSTEMKLUR=W,STOFBREEDTE=B2,BREEDTE [MM]=1895,BEDRIJFSKETEN=KW,BEDIENINGSLENGTE [MM]=1000,MOTAGE=D,CHILD SAFE=CS_NO</t>
  </si>
  <si>
    <t>STOFBREEDTE</t>
  </si>
  <si>
    <t>AFSTANDSBEDIENING</t>
  </si>
  <si>
    <t>OPPERVLAKTE[M2]</t>
  </si>
  <si>
    <t>CONTROLETYPE</t>
  </si>
  <si>
    <t>TOT. BR. WAARDE [€]</t>
  </si>
  <si>
    <t>BREEDTE [MM]</t>
  </si>
  <si>
    <t>TOTALE NET.WAARDE NA KORTING [€]</t>
  </si>
  <si>
    <t>AFMETINGEN VOOR SLOP</t>
  </si>
  <si>
    <t>MONTAGE HOOGTE</t>
  </si>
  <si>
    <t>HOOGTE [MM]</t>
  </si>
  <si>
    <t>METHODE VAN METEN</t>
  </si>
  <si>
    <t>VOEDING</t>
  </si>
  <si>
    <t>Positie 2</t>
  </si>
  <si>
    <t>LIJSTPRIJS [€] bruto=51.09</t>
  </si>
  <si>
    <t>KONFIGURATION=S,CONTROLETYPE=S,MODEL=1R,SYSTEMKLUR=W,STOFBREEDTE=B2,BREEDTE [MM]=3030,BEDRIJFSKETEN=KW,BEDIENINGSLENGTE [MM]=1500,MOTAGE=D,CHILD SAFE=CS_NO</t>
  </si>
  <si>
    <t>Positie 3</t>
  </si>
  <si>
    <t>LIJSTPRIJS [€] bruto=47.92</t>
  </si>
  <si>
    <t>KONFIGURATION=S,CONTROLETYPE=S,MODEL=1R,SYSTEMKLUR=W,STOFBREEDTE=B2,BREEDTE [MM]=2885,BEDRIJFSKETEN=KW,BEDIENINGSLENGTE [MM]=1500,MOTAGE=D,CHILD SAFE=CS_NO</t>
  </si>
  <si>
    <t>Positie 4</t>
  </si>
  <si>
    <t>KONFIGURATION=S,CONTROLETYPE=S,MODEL=1R,SYSTEMKLUR=W,STOFBREEDTE=B2,BREEDTE [MM]=2860,BEDRIJFSKETEN=KW,BEDIENINGSLENGTE [MM]=1500,MOTAGE=D,CHILD SAFE=CS_NO</t>
  </si>
  <si>
    <t>Positie 5</t>
  </si>
  <si>
    <t>KONFIGURATION=S,CONTROLETYPE=S,MODEL=1R,SYSTEMKLUR=W,STOFBREEDTE=B2,BREEDTE [MM]=2865,BEDRIJFSKETEN=KW,BEDIENINGSLENGTE [MM]=1500,MOTAGE=D,CHILD SAFE=CS_NO</t>
  </si>
  <si>
    <t>Positie 6</t>
  </si>
  <si>
    <t>LIJSTPRIJS [€] bruto=35.26</t>
  </si>
  <si>
    <t>KONFIGURATION=S,CONTROLETYPE=S,MODEL=1R,SYSTEMKLUR=W,STOFBREEDTE=B2,BREEDTE [MM]=1915,BEDRIJFSKETEN=KW,BEDIENINGSLENGTE [MM]=1000,MOTAGE=D,CHILD SAFE=CS_NO</t>
  </si>
  <si>
    <t>Positie 7</t>
  </si>
  <si>
    <t>KONFIGURATION=S,CONTROLETYPE=S,MODEL=1R,SYSTEMKLUR=W,STOFBREEDTE=B2,BREEDTE [MM]=1945,BEDRIJFSKETEN=KW,BEDIENINGSLENGTE [MM]=1000,MOTAGE=D,CHILD SAFE=CS_NO</t>
  </si>
  <si>
    <t>Positie 8/9/10/26</t>
  </si>
  <si>
    <t>LIJSTPRIJS [€] bruto=26.28</t>
  </si>
  <si>
    <t>KONFIGURATION=S,CONTROLETYPE=S,MODEL=1R,SYSTEMKLUR=W,STOFBREEDTE=B2,BREEDTE [MM]=1385,BEDRIJFSKETEN=KW,BEDIENINGSLENGTE [MM]=1000,MOTAGE=D,CHILD SAFE=CS_NO</t>
  </si>
  <si>
    <t>Positie 11</t>
  </si>
  <si>
    <t>LIJSTPRIJS [€] bruto=27.47</t>
  </si>
  <si>
    <t>KONFIGURATION=S,CONTROLETYPE=S,MODEL=1R,SYSTEMKLUR=W,STOFBREEDTE=B2,BREEDTE [MM]=1475,BEDRIJFSKETEN=KW,BEDIENINGSLENGTE [MM]=1000,MOTAGE=D,CHILD SAFE=CS_NO</t>
  </si>
  <si>
    <t>Positie 12/14</t>
  </si>
  <si>
    <t>LIJSTPRIJS [€] bruto=32.35</t>
  </si>
  <si>
    <t>KONFIGURATION=S,CONTROLETYPE=S,MODEL=1R,SYSTEMKLUR=W,STOFBREEDTE=B2,BREEDTE [MM]=1705,BEDRIJFSKETEN=KW,BEDIENINGSLENGTE [MM]=1500,MOTAGE=D,CHILD SAFE=CS_NO</t>
  </si>
  <si>
    <t>Positie 13 + 16 t/m 25</t>
  </si>
  <si>
    <t>KONFIGURATION=S,CONTROLETYPE=S,MODEL=1R,SYSTEMKLUR=W,STOFBREEDTE=B2,BREEDTE [MM]=1720,BEDRIJFSKETEN=KW,BEDIENINGSLENGTE [MM]=1500,MOTAGE=D,CHILD SAFE=CS_NO</t>
  </si>
  <si>
    <t>Positie 15</t>
  </si>
  <si>
    <t>LIJSTPRIJS [€] bruto=30.89</t>
  </si>
  <si>
    <t>KONFIGURATION=S,CONTROLETYPE=S,MODEL=1R,SYSTEMKLUR=W,STOFBREEDTE=B2,BREEDTE [MM]=1700,BEDRIJFSKETEN=KW,BEDIENINGSLENGTE [MM]=1500,MOTAGE=D,CHILD SAFE=CS_NO</t>
  </si>
  <si>
    <t>Positie 27</t>
  </si>
  <si>
    <t>KONFIGURATION=S,CONTROLETYPE=S,MODEL=1R,SYSTEMKLUR=W,STOFBREEDTE=B2,BREEDTE [MM]=1390,BEDRIJFSKETEN=KW,BEDIENINGSLENGTE [MM]=1000,MOTAGE=D,CHILD SAFE=CS_NO</t>
  </si>
  <si>
    <t>Positie 28</t>
  </si>
  <si>
    <t>KONFIGURATION=S,CONTROLETYPE=S,MODEL=1R,SYSTEMKLUR=W,STOFBREEDTE=B2,BREEDTE [MM]=1380,BEDRIJFSKETEN=KW,BEDIENINGSLENGTE [MM]=1000,MOTAGE=D,CHILD SAFE=CS_NO</t>
  </si>
  <si>
    <t>Positie 29/32/33/35</t>
  </si>
  <si>
    <t>KONFIGURATION=S,CONTROLETYPE=S,MODEL=1R,SYSTEMKLUR=W,STOFBREEDTE=B2,BREEDTE [MM]=1335,BEDRIJFSKETEN=KW,BEDIENINGSLENGTE [MM]=1500,MOTAGE=D,CHILD SAFE=CS_NO</t>
  </si>
  <si>
    <t>Positie 30/34/36</t>
  </si>
  <si>
    <t>KONFIGURATION=S,CONTROLETYPE=S,MODEL=1R,SYSTEMKLUR=W,STOFBREEDTE=B2,BREEDTE [MM]=1340,BEDRIJFSKETEN=KW,BEDIENINGSLENGTE [MM]=1500,MOTAGE=D,CHILD SAFE=CS_NO</t>
  </si>
  <si>
    <t>Positie 31</t>
  </si>
  <si>
    <t>KONFIGURATION=S,CONTROLETYPE=S,MODEL=1R,SYSTEMKLUR=W,STOFBREEDTE=B2,BREEDTE [MM]=1330,BEDRIJFSKETEN=KW,BEDIENINGSLENGTE [MM]=1500,MOTAGE=D,CHILD SAFE=CS_NO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</si>
</sst>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44" formatCode="_-* #,##0.00\ &quot;zł&quot;_-;\-* #,##0.00\ &quot;zł&quot;_-;_-* &quot;-&quot;??\ &quot;zł&quot;_-;_-@_-"/>
    <numFmt numFmtId="164" formatCode="_-* #,##0.00\ &quot;€&quot;_-;\-* #,##0.00\ &quot;€&quot;_-;_-* &quot;-&quot;??\ &quot;€&quot;_-;_-@_-"/>
    <numFmt numFmtId="165" formatCode="_-* #,##0.00&quot; €&quot;_-;\-* #,##0.00&quot; €&quot;_-;_-* \-??&quot; €&quot;_-;_-@_-"/>
    <numFmt numFmtId="166" formatCode="#,##0.00&quot; &quot;[$zł-415];[Red]&quot;-&quot;#,##0.00&quot; &quot;[$zł-415]"/>
    <numFmt numFmtId="167" formatCode="_(* #,##0.00_);_(* \(#,##0.00\);_(* &quot;-&quot;??_);_(@_)"/>
    <numFmt numFmtId="168" formatCode="_(&quot;zł&quot;* #,##0.00_);_(&quot;zł&quot;* \(#,##0.00\);_(&quot;zł&quot;* &quot;-&quot;??_);_(@_)"/>
  </numFmts>
  <fonts count="143">
    <font>
      <sz val="11"/>
      <color theme="1"/>
      <name val="Calibri"/>
      <family val="2"/>
      <charset val="238"/>
      <scheme val="minor"/>
    </font>
    <font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8"/>
      <name val="Calibri"/>
      <family val="2"/>
      <charset val="238"/>
    </font>
    <font>
      <sz val="10"/>
      <name val="Arial CE"/>
    </font>
    <font>
      <sz val="10"/>
      <color indexed="8"/>
      <name val="Arial"/>
      <family val="2"/>
      <charset val="238"/>
    </font>
    <font>
      <sz val="10"/>
      <name val="Arial"/>
      <family val="2"/>
      <charset val="238"/>
    </font>
    <font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8"/>
      <name val="Czcionka tekstu podstawowego"/>
      <family val="2"/>
      <charset val="238"/>
    </font>
    <font>
      <sz val="10"/>
      <name val="Verdana"/>
      <family val="2"/>
      <charset val="238"/>
    </font>
    <font>
      <sz val="10"/>
      <color indexed="8"/>
      <name val="Arial CE"/>
      <family val="2"/>
      <charset val="238"/>
    </font>
    <font>
      <sz val="11"/>
      <color indexed="9"/>
      <name val="Calibri"/>
      <family val="2"/>
      <charset val="238"/>
    </font>
    <font>
      <sz val="11"/>
      <color indexed="9"/>
      <name val="Czcionka tekstu podstawowego"/>
      <family val="2"/>
      <charset val="238"/>
    </font>
    <font>
      <sz val="10"/>
      <color indexed="9"/>
      <name val="Arial CE"/>
      <family val="2"/>
      <charset val="238"/>
    </font>
    <font>
      <sz val="11"/>
      <color indexed="23"/>
      <name val="Czcionka tekstu podstawowego"/>
      <family val="2"/>
      <charset val="238"/>
    </font>
    <font>
      <b/>
      <sz val="10"/>
      <color indexed="55"/>
      <name val="Calibri"/>
      <family val="2"/>
      <charset val="238"/>
    </font>
    <font>
      <sz val="10"/>
      <color indexed="19"/>
      <name val="Calibri"/>
      <family val="2"/>
      <charset val="238"/>
    </font>
    <font>
      <sz val="10"/>
      <color indexed="9"/>
      <name val="Liberation Sans"/>
      <charset val="238"/>
    </font>
    <font>
      <sz val="11"/>
      <color indexed="8"/>
      <name val="Liberation Sans"/>
      <charset val="238"/>
    </font>
    <font>
      <b/>
      <sz val="10"/>
      <color indexed="8"/>
      <name val="Liberation Sans"/>
      <charset val="238"/>
    </font>
    <font>
      <b/>
      <sz val="11"/>
      <color indexed="63"/>
      <name val="Calibri"/>
      <family val="2"/>
      <charset val="238"/>
    </font>
    <font>
      <sz val="10"/>
      <color indexed="16"/>
      <name val="Arial CE"/>
      <family val="2"/>
      <charset val="238"/>
    </font>
    <font>
      <sz val="11"/>
      <color indexed="20"/>
      <name val="Calibri"/>
      <family val="2"/>
      <charset val="238"/>
    </font>
    <font>
      <sz val="10"/>
      <color indexed="52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0"/>
      <color indexed="53"/>
      <name val="Arial CE"/>
      <family val="2"/>
      <charset val="238"/>
    </font>
    <font>
      <b/>
      <sz val="10"/>
      <color indexed="9"/>
      <name val="Arial CE"/>
      <family val="2"/>
      <charset val="238"/>
    </font>
    <font>
      <b/>
      <sz val="11"/>
      <color indexed="9"/>
      <name val="Calibri"/>
      <family val="2"/>
      <charset val="238"/>
    </font>
    <font>
      <sz val="11"/>
      <color indexed="54"/>
      <name val="Czcionka tekstu podstawowego"/>
      <family val="2"/>
      <charset val="238"/>
    </font>
    <font>
      <sz val="10"/>
      <color indexed="62"/>
      <name val="Arial CE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55"/>
      <name val="Czcionka tekstu podstawowego"/>
      <family val="2"/>
      <charset val="238"/>
    </font>
    <font>
      <b/>
      <sz val="10"/>
      <color indexed="63"/>
      <name val="Arial CE"/>
      <family val="2"/>
      <charset val="238"/>
    </font>
    <font>
      <sz val="11"/>
      <color indexed="17"/>
      <name val="Czcionka tekstu podstawowego"/>
      <family val="2"/>
      <charset val="238"/>
    </font>
    <font>
      <sz val="10"/>
      <color indexed="17"/>
      <name val="Arial CE"/>
      <family val="2"/>
      <charset val="238"/>
    </font>
    <font>
      <sz val="11"/>
      <color indexed="17"/>
      <name val="Calibri"/>
      <family val="2"/>
      <charset val="238"/>
    </font>
    <font>
      <b/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b/>
      <sz val="10"/>
      <color indexed="19"/>
      <name val="Calibri"/>
      <family val="2"/>
      <charset val="238"/>
    </font>
    <font>
      <b/>
      <sz val="10"/>
      <color indexed="9"/>
      <name val="Liberation Sans"/>
      <charset val="238"/>
    </font>
    <font>
      <sz val="11"/>
      <color indexed="8"/>
      <name val="Calibri"/>
      <family val="2"/>
    </font>
    <font>
      <sz val="12"/>
      <color indexed="8"/>
      <name val="Calibri"/>
      <family val="2"/>
      <charset val="238"/>
    </font>
    <font>
      <sz val="12"/>
      <color indexed="8"/>
      <name val="Calibri"/>
      <family val="2"/>
    </font>
    <font>
      <i/>
      <sz val="10"/>
      <color indexed="15"/>
      <name val="Calibri"/>
      <family val="2"/>
      <charset val="238"/>
    </font>
    <font>
      <i/>
      <sz val="10"/>
      <color indexed="23"/>
      <name val="Liberation Sans"/>
      <charset val="238"/>
    </font>
    <font>
      <sz val="10"/>
      <color indexed="9"/>
      <name val="Calibri"/>
      <family val="2"/>
      <charset val="238"/>
    </font>
    <font>
      <b/>
      <sz val="24"/>
      <color indexed="55"/>
      <name val="Calibri"/>
      <family val="2"/>
      <charset val="238"/>
    </font>
    <font>
      <b/>
      <sz val="15"/>
      <color indexed="62"/>
      <name val="Arial CE"/>
      <family val="2"/>
      <charset val="238"/>
    </font>
    <font>
      <sz val="18"/>
      <color indexed="55"/>
      <name val="Calibri"/>
      <family val="2"/>
      <charset val="238"/>
    </font>
    <font>
      <b/>
      <sz val="13"/>
      <color indexed="62"/>
      <name val="Arial CE"/>
      <family val="2"/>
      <charset val="238"/>
    </font>
    <font>
      <b/>
      <sz val="13"/>
      <color indexed="56"/>
      <name val="Calibri"/>
      <family val="2"/>
      <charset val="238"/>
    </font>
    <font>
      <sz val="12"/>
      <color indexed="55"/>
      <name val="Calibri"/>
      <family val="2"/>
      <charset val="238"/>
    </font>
    <font>
      <b/>
      <sz val="11"/>
      <color indexed="62"/>
      <name val="Arial CE"/>
      <family val="2"/>
      <charset val="238"/>
    </font>
    <font>
      <b/>
      <i/>
      <sz val="16"/>
      <color indexed="8"/>
      <name val="Arial"/>
      <family val="2"/>
      <charset val="238"/>
    </font>
    <font>
      <u/>
      <sz val="10"/>
      <color indexed="31"/>
      <name val="Calibri"/>
      <family val="2"/>
      <charset val="238"/>
    </font>
    <font>
      <sz val="11"/>
      <color indexed="62"/>
      <name val="Calibri"/>
      <family val="2"/>
    </font>
    <font>
      <sz val="11"/>
      <color indexed="43"/>
      <name val="Czcionka tekstu podstawowego"/>
      <family val="2"/>
      <charset val="238"/>
    </font>
    <font>
      <sz val="11"/>
      <color indexed="52"/>
      <name val="Calibri"/>
      <family val="2"/>
      <charset val="238"/>
    </font>
    <font>
      <sz val="10"/>
      <color indexed="53"/>
      <name val="Arial CE"/>
      <family val="2"/>
      <charset val="238"/>
    </font>
    <font>
      <b/>
      <sz val="15"/>
      <color indexed="48"/>
      <name val="Czcionka tekstu podstawowego"/>
      <family val="2"/>
      <charset val="238"/>
    </font>
    <font>
      <b/>
      <sz val="13"/>
      <color indexed="48"/>
      <name val="Czcionka tekstu podstawowego"/>
      <family val="2"/>
      <charset val="238"/>
    </font>
    <font>
      <b/>
      <sz val="11"/>
      <color indexed="48"/>
      <name val="Czcionka tekstu podstawowego"/>
      <family val="2"/>
      <charset val="238"/>
    </font>
    <font>
      <b/>
      <sz val="15"/>
      <color indexed="54"/>
      <name val="Czcionka tekstu podstawowego"/>
      <family val="2"/>
      <charset val="238"/>
    </font>
    <font>
      <b/>
      <sz val="15"/>
      <color indexed="54"/>
      <name val="Calibri"/>
      <family val="2"/>
      <charset val="238"/>
    </font>
    <font>
      <b/>
      <sz val="13"/>
      <color indexed="54"/>
      <name val="Czcionka tekstu podstawowego"/>
      <family val="2"/>
      <charset val="238"/>
    </font>
    <font>
      <b/>
      <sz val="13"/>
      <color indexed="54"/>
      <name val="Calibri"/>
      <family val="2"/>
      <charset val="238"/>
    </font>
    <font>
      <b/>
      <sz val="11"/>
      <color indexed="54"/>
      <name val="Calibri"/>
      <family val="2"/>
      <charset val="238"/>
    </font>
    <font>
      <sz val="10"/>
      <color indexed="60"/>
      <name val="Arial CE"/>
      <family val="2"/>
      <charset val="238"/>
    </font>
    <font>
      <sz val="11"/>
      <color indexed="52"/>
      <name val="Czcionka tekstu podstawowego"/>
      <family val="2"/>
      <charset val="238"/>
    </font>
    <font>
      <sz val="11"/>
      <color indexed="60"/>
      <name val="Calibri"/>
      <family val="2"/>
      <charset val="238"/>
    </font>
    <font>
      <sz val="10"/>
      <color indexed="11"/>
      <name val="Calibri"/>
      <family val="2"/>
      <charset val="238"/>
    </font>
    <font>
      <sz val="11"/>
      <color indexed="60"/>
      <name val="Czcionka tekstu podstawowego"/>
      <family val="2"/>
      <charset val="238"/>
    </font>
    <font>
      <sz val="10"/>
      <color indexed="8"/>
      <name val="Calibri"/>
      <family val="2"/>
    </font>
    <font>
      <sz val="10"/>
      <color indexed="55"/>
      <name val="Calibri"/>
      <family val="2"/>
      <charset val="238"/>
    </font>
    <font>
      <sz val="10"/>
      <name val="Arial"/>
      <family val="2"/>
    </font>
    <font>
      <b/>
      <sz val="11"/>
      <color indexed="8"/>
      <name val="Liberation Sans"/>
      <charset val="238"/>
    </font>
    <font>
      <b/>
      <i/>
      <u/>
      <sz val="11"/>
      <color indexed="8"/>
      <name val="Arial"/>
      <family val="2"/>
      <charset val="238"/>
    </font>
    <font>
      <b/>
      <sz val="18"/>
      <color indexed="62"/>
      <name val="Cambria"/>
      <family val="2"/>
      <charset val="238"/>
    </font>
    <font>
      <sz val="10"/>
      <color indexed="8"/>
      <name val="Arial"/>
      <family val="2"/>
    </font>
    <font>
      <i/>
      <sz val="11"/>
      <color indexed="15"/>
      <name val="Czcionka tekstu podstawowego"/>
      <family val="2"/>
      <charset val="238"/>
    </font>
    <font>
      <sz val="10"/>
      <color indexed="10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</font>
    <font>
      <b/>
      <sz val="18"/>
      <color indexed="48"/>
      <name val="Cambria"/>
      <family val="2"/>
      <charset val="238"/>
    </font>
    <font>
      <sz val="18"/>
      <color indexed="54"/>
      <name val="Calibri Light"/>
      <family val="2"/>
      <charset val="238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sz val="11"/>
      <color indexed="10"/>
      <name val="Calibri"/>
      <family val="2"/>
    </font>
    <font>
      <sz val="11"/>
      <color indexed="12"/>
      <name val="Czcionka tekstu podstawowego"/>
      <family val="2"/>
      <charset val="238"/>
    </font>
    <font>
      <sz val="11"/>
      <color indexed="20"/>
      <name val="Czcionka tekstu podstawowego"/>
      <family val="2"/>
      <charset val="238"/>
    </font>
    <font>
      <sz val="10"/>
      <color indexed="20"/>
      <name val="Arial CE"/>
      <family val="2"/>
      <charset val="238"/>
    </font>
    <font>
      <b/>
      <sz val="11"/>
      <color indexed="53"/>
      <name val="Calibri"/>
      <family val="2"/>
      <charset val="238"/>
    </font>
    <font>
      <b/>
      <sz val="11"/>
      <color indexed="62"/>
      <name val="Calibri"/>
      <family val="2"/>
      <charset val="238"/>
    </font>
    <font>
      <sz val="10"/>
      <color indexed="52"/>
      <name val="Arial CE"/>
      <family val="2"/>
      <charset val="238"/>
    </font>
    <font>
      <sz val="11"/>
      <color indexed="53"/>
      <name val="Calibri"/>
      <family val="2"/>
      <charset val="238"/>
    </font>
    <font>
      <b/>
      <sz val="10"/>
      <color indexed="52"/>
      <name val="Arial CE"/>
      <family val="2"/>
      <charset val="238"/>
    </font>
    <font>
      <i/>
      <sz val="10"/>
      <color indexed="23"/>
      <name val="Arial CE"/>
      <family val="2"/>
      <charset val="238"/>
    </font>
    <font>
      <sz val="10"/>
      <color indexed="14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1"/>
      <name val="Calibri"/>
      <family val="2"/>
      <charset val="238"/>
    </font>
    <font>
      <sz val="11"/>
      <color indexed="9"/>
      <name val="Calibri"/>
      <family val="2"/>
    </font>
    <font>
      <sz val="11"/>
      <color indexed="8"/>
      <name val="Liberation Sans"/>
      <family val="2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sz val="11"/>
      <color indexed="17"/>
      <name val="Calibri"/>
      <family val="2"/>
    </font>
    <font>
      <b/>
      <sz val="11"/>
      <color indexed="9"/>
      <name val="Czcionka tekstu podstawowego"/>
      <family val="2"/>
      <charset val="238"/>
    </font>
    <font>
      <b/>
      <sz val="15"/>
      <color indexed="56"/>
      <name val="Czcionka tekstu podstawowego"/>
      <family val="2"/>
      <charset val="238"/>
    </font>
    <font>
      <b/>
      <sz val="15"/>
      <color indexed="56"/>
      <name val="Arial CE"/>
      <family val="2"/>
      <charset val="238"/>
    </font>
    <font>
      <b/>
      <sz val="15"/>
      <color indexed="62"/>
      <name val="Czcionka tekstu podstawowego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3"/>
      <color indexed="56"/>
      <name val="Arial CE"/>
      <family val="2"/>
      <charset val="238"/>
    </font>
    <font>
      <b/>
      <sz val="13"/>
      <color indexed="62"/>
      <name val="Czcionka tekstu podstawowego"/>
      <family val="2"/>
      <charset val="238"/>
    </font>
    <font>
      <b/>
      <sz val="11"/>
      <color indexed="56"/>
      <name val="Czcionka tekstu podstawowego"/>
      <family val="2"/>
      <charset val="238"/>
    </font>
    <font>
      <b/>
      <sz val="11"/>
      <color indexed="56"/>
      <name val="Arial CE"/>
      <family val="2"/>
      <charset val="238"/>
    </font>
    <font>
      <b/>
      <sz val="11"/>
      <color indexed="62"/>
      <name val="Czcionka tekstu podstawowego"/>
      <family val="2"/>
      <charset val="238"/>
    </font>
    <font>
      <sz val="11"/>
      <color indexed="60"/>
      <name val="Calibri"/>
      <family val="2"/>
    </font>
    <font>
      <b/>
      <sz val="11"/>
      <color indexed="52"/>
      <name val="Czcionka tekstu podstawowego"/>
      <family val="2"/>
      <charset val="238"/>
    </font>
    <font>
      <sz val="11"/>
      <color indexed="8"/>
      <name val="Liberation Sans"/>
      <family val="2"/>
      <charset val="238"/>
    </font>
    <font>
      <b/>
      <sz val="11"/>
      <color indexed="8"/>
      <name val="Liberation Sans"/>
      <family val="2"/>
    </font>
    <font>
      <b/>
      <sz val="11"/>
      <color indexed="8"/>
      <name val="Liberation Sans"/>
      <family val="2"/>
      <charset val="238"/>
    </font>
    <font>
      <sz val="11"/>
      <color indexed="8"/>
      <name val="Calibri"/>
      <family val="2"/>
      <charset val="1"/>
    </font>
    <font>
      <b/>
      <sz val="11"/>
      <color indexed="8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sz val="11"/>
      <color indexed="20"/>
      <name val="Calibri"/>
      <family val="2"/>
    </font>
    <font>
      <sz val="11"/>
      <color indexed="55"/>
      <name val="Calibri"/>
      <family val="2"/>
      <charset val="238"/>
    </font>
    <font>
      <sz val="11"/>
      <color indexed="23"/>
      <name val="Calibri"/>
      <family val="2"/>
      <charset val="238"/>
    </font>
    <font>
      <sz val="8"/>
      <name val="Calibri"/>
      <family val="2"/>
      <charset val="238"/>
    </font>
    <font>
      <u/>
      <sz val="11"/>
      <color theme="1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theme="1"/>
      <name val="Arial CE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rgb="FFFF0000"/>
      <name val="Calibri"/>
      <family val="2"/>
      <charset val="238"/>
    </font>
    <font>
      <b/>
      <sz val="10"/>
      <name val="Arial CE"/>
    </font>
    <font>
      <b/>
      <sz val="10"/>
      <name val="Arial CE"/>
      <family val="2"/>
      <charset val="238"/>
    </font>
    <font>
      <sz val="11"/>
      <color indexed="63"/>
      <name val="Calibri"/>
      <family val="2"/>
    </font>
    <font>
      <b/>
      <sz val="10"/>
      <name val="Arial CE"/>
      <charset val="238"/>
    </font>
    <font>
      <sz val="10"/>
      <color rgb="FFFF33CC"/>
      <name val="Arial CE"/>
    </font>
  </fonts>
  <fills count="110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19"/>
      </patternFill>
    </fill>
    <fill>
      <patternFill patternType="solid">
        <fgColor indexed="29"/>
      </patternFill>
    </fill>
    <fill>
      <patternFill patternType="solid">
        <fgColor indexed="39"/>
      </patternFill>
    </fill>
    <fill>
      <patternFill patternType="solid">
        <fgColor indexed="23"/>
      </patternFill>
    </fill>
    <fill>
      <patternFill patternType="solid">
        <fgColor indexed="18"/>
      </patternFill>
    </fill>
    <fill>
      <patternFill patternType="solid">
        <fgColor indexed="34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6"/>
      </patternFill>
    </fill>
    <fill>
      <patternFill patternType="solid">
        <fgColor indexed="35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41"/>
      </patternFill>
    </fill>
    <fill>
      <patternFill patternType="solid">
        <fgColor indexed="55"/>
        <bgColor indexed="50"/>
      </patternFill>
    </fill>
    <fill>
      <patternFill patternType="solid">
        <fgColor indexed="8"/>
        <bgColor indexed="8"/>
      </patternFill>
    </fill>
    <fill>
      <patternFill patternType="solid">
        <fgColor indexed="15"/>
        <bgColor indexed="47"/>
      </patternFill>
    </fill>
    <fill>
      <patternFill patternType="solid">
        <fgColor indexed="23"/>
        <bgColor indexed="23"/>
      </patternFill>
    </fill>
    <fill>
      <patternFill patternType="solid">
        <fgColor indexed="19"/>
        <bgColor indexed="14"/>
      </patternFill>
    </fill>
    <fill>
      <patternFill patternType="solid">
        <fgColor indexed="22"/>
        <bgColor indexed="2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7"/>
        <bgColor indexed="47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3"/>
        <bgColor indexed="43"/>
      </patternFill>
    </fill>
    <fill>
      <patternFill patternType="solid">
        <fgColor indexed="53"/>
      </patternFill>
    </fill>
    <fill>
      <patternFill patternType="solid">
        <fgColor indexed="41"/>
        <bgColor indexed="32"/>
      </patternFill>
    </fill>
    <fill>
      <patternFill patternType="solid">
        <fgColor indexed="45"/>
        <bgColor indexed="44"/>
      </patternFill>
    </fill>
    <fill>
      <patternFill patternType="solid">
        <fgColor indexed="55"/>
      </patternFill>
    </fill>
    <fill>
      <patternFill patternType="solid">
        <fgColor indexed="49"/>
        <bgColor indexed="13"/>
      </patternFill>
    </fill>
    <fill>
      <patternFill patternType="solid">
        <fgColor indexed="54"/>
      </patternFill>
    </fill>
    <fill>
      <patternFill patternType="solid">
        <fgColor indexed="45"/>
        <b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39"/>
        <bgColor indexed="19"/>
      </patternFill>
    </fill>
    <fill>
      <patternFill patternType="solid">
        <fgColor indexed="9"/>
        <bgColor indexed="9"/>
      </patternFill>
    </fill>
    <fill>
      <patternFill patternType="solid">
        <fgColor indexed="19"/>
        <bgColor indexed="34"/>
      </patternFill>
    </fill>
    <fill>
      <patternFill patternType="solid">
        <fgColor indexed="14"/>
        <bgColor indexed="3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52"/>
        <bgColor indexed="8"/>
      </patternFill>
    </fill>
    <fill>
      <patternFill patternType="solid">
        <fgColor indexed="10"/>
        <bgColor indexed="10"/>
      </patternFill>
    </fill>
    <fill>
      <patternFill patternType="solid">
        <fgColor indexed="42"/>
        <bgColor indexed="27"/>
      </patternFill>
    </fill>
    <fill>
      <patternFill patternType="solid">
        <fgColor indexed="34"/>
        <bgColor indexed="33"/>
      </patternFill>
    </fill>
    <fill>
      <patternFill patternType="solid">
        <fgColor indexed="35"/>
        <bgColor indexed="18"/>
      </patternFill>
    </fill>
    <fill>
      <patternFill patternType="solid">
        <fgColor indexed="43"/>
        <bgColor indexed="26"/>
      </patternFill>
    </fill>
    <fill>
      <patternFill patternType="solid">
        <fgColor indexed="18"/>
        <bgColor indexed="19"/>
      </patternFill>
    </fill>
    <fill>
      <patternFill patternType="solid">
        <fgColor indexed="26"/>
        <bgColor indexed="9"/>
      </patternFill>
    </fill>
    <fill>
      <patternFill patternType="solid">
        <fgColor indexed="37"/>
        <bgColor indexed="21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5"/>
        <bgColor indexed="24"/>
      </patternFill>
    </fill>
    <fill>
      <patternFill patternType="solid">
        <fgColor indexed="31"/>
        <bgColor indexed="41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22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64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41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64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64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64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64"/>
      </patternFill>
    </fill>
    <fill>
      <patternFill patternType="solid">
        <fgColor indexed="30"/>
        <bgColor indexed="21"/>
      </patternFill>
    </fill>
    <fill>
      <patternFill patternType="solid">
        <fgColor indexed="49"/>
        <bgColor indexed="15"/>
      </patternFill>
    </fill>
    <fill>
      <patternFill patternType="solid">
        <fgColor indexed="36"/>
        <bgColor indexed="64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64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64"/>
      </patternFill>
    </fill>
    <fill>
      <patternFill patternType="solid">
        <fgColor indexed="52"/>
        <bgColor indexed="51"/>
      </patternFill>
    </fill>
  </fills>
  <borders count="51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4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14"/>
      </bottom>
      <diagonal/>
    </border>
    <border>
      <left/>
      <right/>
      <top/>
      <bottom style="medium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500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10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42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4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3" borderId="0" applyNumberFormat="0" applyBorder="0" applyAlignment="0" applyProtection="0"/>
    <xf numFmtId="0" fontId="1" fillId="6" borderId="0" applyNumberFormat="0" applyBorder="0" applyAlignment="0" applyProtection="0"/>
    <xf numFmtId="0" fontId="42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6" borderId="0" applyNumberFormat="0" applyBorder="0" applyAlignment="0" applyProtection="0"/>
    <xf numFmtId="0" fontId="11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28" fillId="11" borderId="0" applyNumberFormat="0" applyBorder="0" applyAlignment="0" applyProtection="0"/>
    <xf numFmtId="0" fontId="9" fillId="3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4" borderId="0" applyNumberFormat="0" applyBorder="0" applyAlignment="0" applyProtection="0"/>
    <xf numFmtId="0" fontId="42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9" fillId="6" borderId="0" applyNumberFormat="0" applyBorder="0" applyAlignment="0" applyProtection="0"/>
    <xf numFmtId="0" fontId="9" fillId="8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42" fillId="8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1" fillId="8" borderId="0" applyNumberFormat="0" applyBorder="0" applyAlignment="0" applyProtection="0"/>
    <xf numFmtId="0" fontId="9" fillId="8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1" fillId="3" borderId="0" applyNumberFormat="0" applyBorder="0" applyAlignment="0" applyProtection="0"/>
    <xf numFmtId="0" fontId="42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9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42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42" fillId="7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9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1" fillId="7" borderId="0" applyNumberFormat="0" applyBorder="0" applyAlignment="0" applyProtection="0"/>
    <xf numFmtId="0" fontId="9" fillId="7" borderId="0" applyNumberFormat="0" applyBorder="0" applyAlignment="0" applyProtection="0"/>
    <xf numFmtId="0" fontId="128" fillId="14" borderId="0" applyNumberFormat="0" applyBorder="0" applyAlignment="0" applyProtection="0"/>
    <xf numFmtId="0" fontId="9" fillId="5" borderId="0" applyNumberFormat="0" applyBorder="0" applyAlignment="0" applyProtection="0"/>
    <xf numFmtId="0" fontId="1" fillId="4" borderId="0" applyNumberFormat="0" applyBorder="0" applyAlignment="0" applyProtection="0"/>
    <xf numFmtId="0" fontId="9" fillId="7" borderId="0" applyNumberFormat="0" applyBorder="0" applyAlignment="0" applyProtection="0"/>
    <xf numFmtId="0" fontId="1" fillId="5" borderId="0" applyNumberFormat="0" applyBorder="0" applyAlignment="0" applyProtection="0"/>
    <xf numFmtId="0" fontId="42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9" fillId="7" borderId="0" applyNumberFormat="0" applyBorder="0" applyAlignment="0" applyProtection="0"/>
    <xf numFmtId="0" fontId="9" fillId="9" borderId="0" applyNumberFormat="0" applyBorder="0" applyAlignment="0" applyProtection="0"/>
    <xf numFmtId="0" fontId="9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4" borderId="0" applyNumberFormat="0" applyBorder="0" applyAlignment="0" applyProtection="0"/>
    <xf numFmtId="0" fontId="1" fillId="9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3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9" borderId="0" applyNumberFormat="0" applyBorder="0" applyAlignment="0" applyProtection="0"/>
    <xf numFmtId="0" fontId="11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15" borderId="0" applyNumberFormat="0" applyBorder="0" applyAlignment="0" applyProtection="0"/>
    <xf numFmtId="0" fontId="9" fillId="3" borderId="0" applyNumberFormat="0" applyBorder="0" applyAlignment="0" applyProtection="0"/>
    <xf numFmtId="0" fontId="1" fillId="5" borderId="0" applyNumberFormat="0" applyBorder="0" applyAlignment="0" applyProtection="0"/>
    <xf numFmtId="0" fontId="9" fillId="9" borderId="0" applyNumberFormat="0" applyBorder="0" applyAlignment="0" applyProtection="0"/>
    <xf numFmtId="0" fontId="1" fillId="4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9" fillId="9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42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42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28" fillId="14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42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5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42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42" fillId="3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9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9" fillId="3" borderId="0" applyNumberFormat="0" applyBorder="0" applyAlignment="0" applyProtection="0"/>
    <xf numFmtId="0" fontId="128" fillId="16" borderId="0" applyNumberFormat="0" applyBorder="0" applyAlignment="0" applyProtection="0"/>
    <xf numFmtId="0" fontId="9" fillId="5" borderId="0" applyNumberFormat="0" applyBorder="0" applyAlignment="0" applyProtection="0"/>
    <xf numFmtId="0" fontId="1" fillId="7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42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9" fillId="3" borderId="0" applyNumberFormat="0" applyBorder="0" applyAlignment="0" applyProtection="0"/>
    <xf numFmtId="0" fontId="8" fillId="17" borderId="0" applyNumberFormat="0" applyBorder="0" applyAlignment="0" applyProtection="0"/>
    <xf numFmtId="0" fontId="8" fillId="3" borderId="0" applyNumberFormat="0" applyBorder="0" applyAlignment="0" applyProtection="0"/>
    <xf numFmtId="0" fontId="8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9" fillId="17" borderId="0" applyNumberFormat="0" applyBorder="0" applyAlignment="0" applyProtection="0"/>
    <xf numFmtId="0" fontId="9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9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12" borderId="0" applyNumberFormat="0" applyBorder="0" applyAlignment="0" applyProtection="0"/>
    <xf numFmtId="0" fontId="1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42" fillId="12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42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3" borderId="0" applyNumberFormat="0" applyBorder="0" applyAlignment="0" applyProtection="0"/>
    <xf numFmtId="0" fontId="9" fillId="12" borderId="0" applyNumberFormat="0" applyBorder="0" applyAlignment="0" applyProtection="0"/>
    <xf numFmtId="0" fontId="9" fillId="19" borderId="0" applyNumberFormat="0" applyBorder="0" applyAlignment="0" applyProtection="0"/>
    <xf numFmtId="0" fontId="9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42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42" fillId="19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9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1" fillId="19" borderId="0" applyNumberFormat="0" applyBorder="0" applyAlignment="0" applyProtection="0"/>
    <xf numFmtId="0" fontId="9" fillId="19" borderId="0" applyNumberFormat="0" applyBorder="0" applyAlignment="0" applyProtection="0"/>
    <xf numFmtId="0" fontId="128" fillId="14" borderId="0" applyNumberFormat="0" applyBorder="0" applyAlignment="0" applyProtection="0"/>
    <xf numFmtId="0" fontId="9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9" borderId="0" applyNumberFormat="0" applyBorder="0" applyAlignment="0" applyProtection="0"/>
    <xf numFmtId="0" fontId="1" fillId="18" borderId="0" applyNumberFormat="0" applyBorder="0" applyAlignment="0" applyProtection="0"/>
    <xf numFmtId="0" fontId="42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9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22" borderId="0" applyNumberFormat="0" applyBorder="0" applyAlignment="0" applyProtection="0"/>
    <xf numFmtId="0" fontId="9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" borderId="0" applyNumberFormat="0" applyBorder="0" applyAlignment="0" applyProtection="0"/>
    <xf numFmtId="0" fontId="1" fillId="10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9" fillId="9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3" borderId="0" applyNumberFormat="0" applyBorder="0" applyAlignment="0" applyProtection="0"/>
    <xf numFmtId="0" fontId="1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42" fillId="20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11" fillId="18" borderId="0" applyNumberFormat="0" applyBorder="0" applyAlignment="0" applyProtection="0"/>
    <xf numFmtId="0" fontId="1" fillId="3" borderId="0" applyNumberFormat="0" applyBorder="0" applyAlignment="0" applyProtection="0"/>
    <xf numFmtId="0" fontId="9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1" fillId="20" borderId="0" applyNumberFormat="0" applyBorder="0" applyAlignment="0" applyProtection="0"/>
    <xf numFmtId="0" fontId="9" fillId="20" borderId="0" applyNumberFormat="0" applyBorder="0" applyAlignment="0" applyProtection="0"/>
    <xf numFmtId="0" fontId="128" fillId="22" borderId="0" applyNumberFormat="0" applyBorder="0" applyAlignment="0" applyProtection="0"/>
    <xf numFmtId="0" fontId="9" fillId="20" borderId="0" applyNumberFormat="0" applyBorder="0" applyAlignment="0" applyProtection="0"/>
    <xf numFmtId="0" fontId="1" fillId="18" borderId="0" applyNumberFormat="0" applyBorder="0" applyAlignment="0" applyProtection="0"/>
    <xf numFmtId="0" fontId="42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18" borderId="0" applyNumberFormat="0" applyBorder="0" applyAlignment="0" applyProtection="0"/>
    <xf numFmtId="0" fontId="9" fillId="20" borderId="0" applyNumberFormat="0" applyBorder="0" applyAlignment="0" applyProtection="0"/>
    <xf numFmtId="0" fontId="12" fillId="17" borderId="0" applyNumberFormat="0" applyBorder="0" applyAlignment="0" applyProtection="0"/>
    <xf numFmtId="0" fontId="12" fillId="3" borderId="0" applyNumberFormat="0" applyBorder="0" applyAlignment="0" applyProtection="0"/>
    <xf numFmtId="0" fontId="12" fillId="10" borderId="0" applyNumberFormat="0" applyBorder="0" applyAlignment="0" applyProtection="0"/>
    <xf numFmtId="0" fontId="12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8" fillId="23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8" fillId="3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8" fillId="10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8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8" fillId="17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5" borderId="0" applyNumberFormat="0" applyBorder="0" applyAlignment="0" applyProtection="0"/>
    <xf numFmtId="0" fontId="11" fillId="23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0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3" fillId="25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3" fillId="25" borderId="0" applyNumberFormat="0" applyBorder="0" applyAlignment="0" applyProtection="0"/>
    <xf numFmtId="0" fontId="129" fillId="21" borderId="0" applyNumberFormat="0" applyBorder="0" applyAlignment="0" applyProtection="0"/>
    <xf numFmtId="0" fontId="13" fillId="23" borderId="0" applyNumberFormat="0" applyBorder="0" applyAlignment="0" applyProtection="0"/>
    <xf numFmtId="0" fontId="1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3" fillId="25" borderId="0" applyNumberFormat="0" applyBorder="0" applyAlignment="0" applyProtection="0"/>
    <xf numFmtId="0" fontId="12" fillId="17" borderId="0" applyNumberFormat="0" applyBorder="0" applyAlignment="0" applyProtection="0"/>
    <xf numFmtId="0" fontId="13" fillId="25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0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29" fillId="13" borderId="0" applyNumberFormat="0" applyBorder="0" applyAlignment="0" applyProtection="0"/>
    <xf numFmtId="0" fontId="13" fillId="12" borderId="0" applyNumberFormat="0" applyBorder="0" applyAlignment="0" applyProtection="0"/>
    <xf numFmtId="0" fontId="1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3" fillId="12" borderId="0" applyNumberFormat="0" applyBorder="0" applyAlignment="0" applyProtection="0"/>
    <xf numFmtId="0" fontId="12" fillId="3" borderId="0" applyNumberFormat="0" applyBorder="0" applyAlignment="0" applyProtection="0"/>
    <xf numFmtId="0" fontId="13" fillId="12" borderId="0" applyNumberFormat="0" applyBorder="0" applyAlignment="0" applyProtection="0"/>
    <xf numFmtId="0" fontId="13" fillId="19" borderId="0" applyNumberFormat="0" applyBorder="0" applyAlignment="0" applyProtection="0"/>
    <xf numFmtId="0" fontId="13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9" borderId="0" applyNumberFormat="0" applyBorder="0" applyAlignment="0" applyProtection="0"/>
    <xf numFmtId="0" fontId="11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0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3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3" fillId="19" borderId="0" applyNumberFormat="0" applyBorder="0" applyAlignment="0" applyProtection="0"/>
    <xf numFmtId="0" fontId="129" fillId="14" borderId="0" applyNumberFormat="0" applyBorder="0" applyAlignment="0" applyProtection="0"/>
    <xf numFmtId="0" fontId="13" fillId="18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3" fillId="19" borderId="0" applyNumberFormat="0" applyBorder="0" applyAlignment="0" applyProtection="0"/>
    <xf numFmtId="0" fontId="12" fillId="10" borderId="0" applyNumberFormat="0" applyBorder="0" applyAlignment="0" applyProtection="0"/>
    <xf numFmtId="0" fontId="13" fillId="19" borderId="0" applyNumberFormat="0" applyBorder="0" applyAlignment="0" applyProtection="0"/>
    <xf numFmtId="0" fontId="13" fillId="21" borderId="0" applyNumberFormat="0" applyBorder="0" applyAlignment="0" applyProtection="0"/>
    <xf numFmtId="0" fontId="13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21" borderId="0" applyNumberFormat="0" applyBorder="0" applyAlignment="0" applyProtection="0"/>
    <xf numFmtId="0" fontId="11" fillId="18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0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3" fillId="21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3" fillId="21" borderId="0" applyNumberFormat="0" applyBorder="0" applyAlignment="0" applyProtection="0"/>
    <xf numFmtId="0" fontId="129" fillId="22" borderId="0" applyNumberFormat="0" applyBorder="0" applyAlignment="0" applyProtection="0"/>
    <xf numFmtId="0" fontId="13" fillId="10" borderId="0" applyNumberFormat="0" applyBorder="0" applyAlignment="0" applyProtection="0"/>
    <xf numFmtId="0" fontId="1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3" fillId="21" borderId="0" applyNumberFormat="0" applyBorder="0" applyAlignment="0" applyProtection="0"/>
    <xf numFmtId="0" fontId="12" fillId="18" borderId="0" applyNumberFormat="0" applyBorder="0" applyAlignment="0" applyProtection="0"/>
    <xf numFmtId="0" fontId="13" fillId="21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0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03" fillId="23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9" fillId="27" borderId="0" applyNumberFormat="0" applyBorder="0" applyAlignment="0" applyProtection="0"/>
    <xf numFmtId="0" fontId="103" fillId="23" borderId="0" applyNumberFormat="0" applyBorder="0" applyAlignment="0" applyProtection="0"/>
    <xf numFmtId="0" fontId="3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6" borderId="0" applyNumberFormat="0" applyBorder="0" applyAlignment="0" applyProtection="0"/>
    <xf numFmtId="0" fontId="13" fillId="12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26" borderId="0" applyNumberFormat="0" applyBorder="0" applyAlignment="0" applyProtection="0"/>
    <xf numFmtId="0" fontId="11" fillId="24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0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03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26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26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3" fillId="26" borderId="0" applyNumberFormat="0" applyBorder="0" applyAlignment="0" applyProtection="0"/>
    <xf numFmtId="0" fontId="129" fillId="23" borderId="0" applyNumberFormat="0" applyBorder="0" applyAlignment="0" applyProtection="0"/>
    <xf numFmtId="0" fontId="13" fillId="12" borderId="0" applyNumberFormat="0" applyBorder="0" applyAlignment="0" applyProtection="0"/>
    <xf numFmtId="0" fontId="1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03" fillId="26" borderId="0" applyNumberFormat="0" applyBorder="0" applyAlignment="0" applyProtection="0"/>
    <xf numFmtId="0" fontId="3" fillId="26" borderId="0" applyNumberFormat="0" applyBorder="0" applyAlignment="0" applyProtection="0"/>
    <xf numFmtId="0" fontId="12" fillId="24" borderId="0" applyNumberFormat="0" applyBorder="0" applyAlignment="0" applyProtection="0"/>
    <xf numFmtId="0" fontId="13" fillId="26" borderId="0" applyNumberFormat="0" applyBorder="0" applyAlignment="0" applyProtection="0"/>
    <xf numFmtId="0" fontId="16" fillId="0" borderId="0" applyBorder="0" applyProtection="0"/>
    <xf numFmtId="0" fontId="17" fillId="28" borderId="0" applyBorder="0" applyProtection="0"/>
    <xf numFmtId="0" fontId="17" fillId="28" borderId="0" applyBorder="0" applyProtection="0"/>
    <xf numFmtId="0" fontId="18" fillId="29" borderId="0" applyNumberFormat="0" applyBorder="0" applyProtection="0"/>
    <xf numFmtId="0" fontId="16" fillId="0" borderId="0" applyBorder="0" applyProtection="0"/>
    <xf numFmtId="0" fontId="17" fillId="30" borderId="0" applyBorder="0" applyProtection="0"/>
    <xf numFmtId="0" fontId="17" fillId="30" borderId="0" applyBorder="0" applyProtection="0"/>
    <xf numFmtId="0" fontId="18" fillId="31" borderId="0" applyNumberFormat="0" applyBorder="0" applyProtection="0"/>
    <xf numFmtId="0" fontId="16" fillId="32" borderId="0" applyBorder="0" applyProtection="0"/>
    <xf numFmtId="0" fontId="16" fillId="32" borderId="0" applyBorder="0" applyProtection="0"/>
    <xf numFmtId="0" fontId="19" fillId="33" borderId="0" applyNumberFormat="0" applyFont="0" applyBorder="0" applyProtection="0"/>
    <xf numFmtId="0" fontId="20" fillId="0" borderId="0" applyNumberFormat="0" applyBorder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8" fillId="35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8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9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2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41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4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4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1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44" borderId="0" applyNumberFormat="0" applyBorder="0" applyAlignment="0" applyProtection="0"/>
    <xf numFmtId="0" fontId="11" fillId="33" borderId="0" applyNumberFormat="0" applyBorder="0" applyAlignment="0" applyProtection="0"/>
    <xf numFmtId="0" fontId="11" fillId="4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23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8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4" fillId="47" borderId="0" applyNumberFormat="0" applyBorder="0" applyAlignment="0" applyProtection="0"/>
    <xf numFmtId="0" fontId="14" fillId="36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2" fillId="48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5" fillId="49" borderId="0" applyBorder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38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5" fillId="50" borderId="0" applyBorder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3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3" fillId="42" borderId="0" applyNumberFormat="0" applyBorder="0" applyAlignment="0" applyProtection="0"/>
    <xf numFmtId="0" fontId="15" fillId="52" borderId="0" applyBorder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3" fillId="24" borderId="0" applyNumberFormat="0" applyBorder="0" applyAlignment="0" applyProtection="0"/>
    <xf numFmtId="0" fontId="14" fillId="24" borderId="0" applyNumberFormat="0" applyBorder="0" applyAlignment="0" applyProtection="0"/>
    <xf numFmtId="0" fontId="13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3" fillId="24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3" fillId="21" borderId="0" applyNumberFormat="0" applyBorder="0" applyAlignment="0" applyProtection="0"/>
    <xf numFmtId="0" fontId="14" fillId="53" borderId="0" applyNumberFormat="0" applyBorder="0" applyAlignment="0" applyProtection="0"/>
    <xf numFmtId="0" fontId="14" fillId="53" borderId="0" applyNumberFormat="0" applyBorder="0" applyAlignment="0" applyProtection="0"/>
    <xf numFmtId="0" fontId="14" fillId="21" borderId="0" applyNumberFormat="0" applyBorder="0" applyAlignment="0" applyProtection="0"/>
    <xf numFmtId="0" fontId="14" fillId="53" borderId="0" applyNumberFormat="0" applyBorder="0" applyAlignment="0" applyProtection="0"/>
    <xf numFmtId="0" fontId="13" fillId="53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3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3" fillId="48" borderId="0" applyNumberFormat="0" applyBorder="0" applyAlignment="0" applyProtection="0"/>
    <xf numFmtId="0" fontId="12" fillId="23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20" borderId="0" applyNumberFormat="0" applyBorder="0" applyAlignment="0" applyProtection="0"/>
    <xf numFmtId="0" fontId="12" fillId="38" borderId="0" applyNumberFormat="0" applyBorder="0" applyAlignment="0" applyProtection="0"/>
    <xf numFmtId="0" fontId="12" fillId="24" borderId="0" applyNumberFormat="0" applyBorder="0" applyAlignment="0" applyProtection="0"/>
    <xf numFmtId="0" fontId="21" fillId="4" borderId="1" applyNumberFormat="0" applyAlignment="0" applyProtection="0"/>
    <xf numFmtId="0" fontId="21" fillId="4" borderId="1" applyNumberFormat="0" applyAlignment="0" applyProtection="0"/>
    <xf numFmtId="0" fontId="22" fillId="54" borderId="0" applyNumberFormat="0" applyBorder="0" applyAlignment="0" applyProtection="0"/>
    <xf numFmtId="0" fontId="23" fillId="55" borderId="0" applyNumberFormat="0" applyBorder="0" applyProtection="0"/>
    <xf numFmtId="0" fontId="24" fillId="56" borderId="0" applyBorder="0" applyProtection="0"/>
    <xf numFmtId="0" fontId="23" fillId="8" borderId="0" applyNumberFormat="0" applyBorder="0" applyAlignment="0" applyProtection="0"/>
    <xf numFmtId="0" fontId="22" fillId="54" borderId="0" applyNumberFormat="0" applyBorder="0" applyAlignment="0" applyProtection="0"/>
    <xf numFmtId="0" fontId="25" fillId="4" borderId="2" applyNumberFormat="0" applyAlignment="0" applyProtection="0"/>
    <xf numFmtId="0" fontId="25" fillId="4" borderId="2" applyNumberFormat="0" applyAlignment="0" applyProtection="0"/>
    <xf numFmtId="0" fontId="26" fillId="57" borderId="2" applyNumberFormat="0" applyAlignment="0" applyProtection="0"/>
    <xf numFmtId="0" fontId="25" fillId="10" borderId="2" applyNumberFormat="0" applyAlignment="0" applyProtection="0"/>
    <xf numFmtId="0" fontId="94" fillId="57" borderId="2" applyNumberFormat="0" applyAlignment="0" applyProtection="0"/>
    <xf numFmtId="0" fontId="27" fillId="41" borderId="3" applyNumberFormat="0" applyAlignment="0" applyProtection="0"/>
    <xf numFmtId="0" fontId="28" fillId="51" borderId="3" applyNumberFormat="0" applyAlignment="0" applyProtection="0"/>
    <xf numFmtId="0" fontId="28" fillId="41" borderId="3" applyNumberFormat="0" applyAlignment="0" applyProtection="0"/>
    <xf numFmtId="0" fontId="29" fillId="58" borderId="4" applyProtection="0"/>
    <xf numFmtId="0" fontId="29" fillId="58" borderId="4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105" fillId="3" borderId="2" applyNumberFormat="0" applyAlignment="0" applyProtection="0"/>
    <xf numFmtId="0" fontId="30" fillId="18" borderId="2" applyNumberFormat="0" applyAlignment="0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30" fillId="18" borderId="2" applyNumberFormat="0" applyAlignment="0" applyProtection="0"/>
    <xf numFmtId="0" fontId="105" fillId="18" borderId="2" applyNumberFormat="0" applyAlignment="0" applyProtection="0"/>
    <xf numFmtId="0" fontId="32" fillId="59" borderId="5" applyProtection="0"/>
    <xf numFmtId="0" fontId="32" fillId="59" borderId="5" applyProtection="0"/>
    <xf numFmtId="0" fontId="33" fillId="10" borderId="1" applyNumberFormat="0" applyAlignment="0" applyProtection="0"/>
    <xf numFmtId="0" fontId="33" fillId="10" borderId="1" applyNumberFormat="0" applyAlignment="0" applyProtection="0"/>
    <xf numFmtId="0" fontId="106" fillId="10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106" fillId="4" borderId="1" applyNumberFormat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4" fillId="7" borderId="0" applyNumberFormat="0" applyBorder="0" applyAlignment="0" applyProtection="0"/>
    <xf numFmtId="0" fontId="107" fillId="7" borderId="0" applyNumberFormat="0" applyBorder="0" applyAlignment="0" applyProtection="0"/>
    <xf numFmtId="0" fontId="36" fillId="7" borderId="0" applyNumberFormat="0" applyBorder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31" fillId="3" borderId="2" applyNumberFormat="0" applyAlignment="0" applyProtection="0"/>
    <xf numFmtId="0" fontId="31" fillId="3" borderId="2" applyNumberFormat="0" applyAlignment="0" applyProtection="0"/>
    <xf numFmtId="0" fontId="37" fillId="60" borderId="0" applyNumberFormat="0" applyBorder="0" applyAlignment="0" applyProtection="0"/>
    <xf numFmtId="0" fontId="37" fillId="60" borderId="0" applyNumberFormat="0" applyBorder="0" applyAlignment="0" applyProtection="0"/>
    <xf numFmtId="0" fontId="38" fillId="60" borderId="0" applyNumberFormat="0" applyBorder="0" applyAlignment="0" applyProtection="0"/>
    <xf numFmtId="0" fontId="37" fillId="61" borderId="0" applyNumberFormat="0" applyBorder="0" applyAlignment="0" applyProtection="0"/>
    <xf numFmtId="0" fontId="37" fillId="61" borderId="0" applyNumberFormat="0" applyBorder="0" applyAlignment="0" applyProtection="0"/>
    <xf numFmtId="0" fontId="38" fillId="61" borderId="0" applyNumberFormat="0" applyBorder="0" applyAlignment="0" applyProtection="0"/>
    <xf numFmtId="0" fontId="37" fillId="62" borderId="0" applyNumberFormat="0" applyBorder="0" applyAlignment="0" applyProtection="0"/>
    <xf numFmtId="0" fontId="37" fillId="62" borderId="0" applyNumberFormat="0" applyBorder="0" applyAlignment="0" applyProtection="0"/>
    <xf numFmtId="0" fontId="38" fillId="62" borderId="0" applyNumberFormat="0" applyBorder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2" fillId="0" borderId="6" applyNumberFormat="0" applyFill="0" applyAlignment="0" applyProtection="0"/>
    <xf numFmtId="0" fontId="39" fillId="0" borderId="0" applyNumberFormat="0" applyFill="0" applyBorder="0" applyAlignment="0" applyProtection="0"/>
    <xf numFmtId="0" fontId="40" fillId="63" borderId="0" applyBorder="0" applyProtection="0"/>
    <xf numFmtId="0" fontId="40" fillId="63" borderId="0" applyBorder="0" applyProtection="0"/>
    <xf numFmtId="0" fontId="41" fillId="64" borderId="0" applyNumberFormat="0" applyBorder="0" applyProtection="0"/>
    <xf numFmtId="164" fontId="42" fillId="0" borderId="0" applyFont="0" applyFill="0" applyBorder="0" applyAlignment="0" applyProtection="0"/>
    <xf numFmtId="165" fontId="7" fillId="0" borderId="0" applyFill="0" applyBorder="0" applyAlignment="0" applyProtection="0"/>
    <xf numFmtId="0" fontId="8" fillId="0" borderId="0"/>
    <xf numFmtId="0" fontId="43" fillId="0" borderId="0"/>
    <xf numFmtId="0" fontId="9" fillId="0" borderId="0"/>
    <xf numFmtId="0" fontId="44" fillId="0" borderId="0"/>
    <xf numFmtId="0" fontId="43" fillId="0" borderId="0"/>
    <xf numFmtId="0" fontId="8" fillId="0" borderId="0"/>
    <xf numFmtId="0" fontId="4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5" fillId="0" borderId="0" applyBorder="0" applyProtection="0"/>
    <xf numFmtId="0" fontId="45" fillId="0" borderId="0" applyBorder="0" applyProtection="0"/>
    <xf numFmtId="0" fontId="46" fillId="0" borderId="0" applyNumberFormat="0" applyBorder="0" applyProtection="0"/>
    <xf numFmtId="0" fontId="35" fillId="43" borderId="0" applyNumberFormat="0" applyBorder="0" applyAlignment="0" applyProtection="0"/>
    <xf numFmtId="0" fontId="36" fillId="65" borderId="0" applyNumberFormat="0" applyBorder="0" applyProtection="0"/>
    <xf numFmtId="0" fontId="36" fillId="7" borderId="0" applyNumberFormat="0" applyBorder="0" applyAlignment="0" applyProtection="0"/>
    <xf numFmtId="0" fontId="47" fillId="66" borderId="0" applyBorder="0" applyProtection="0"/>
    <xf numFmtId="0" fontId="35" fillId="43" borderId="0" applyNumberFormat="0" applyBorder="0" applyAlignment="0" applyProtection="0"/>
    <xf numFmtId="0" fontId="36" fillId="7" borderId="0" applyNumberFormat="0" applyBorder="0" applyAlignment="0" applyProtection="0"/>
    <xf numFmtId="0" fontId="48" fillId="0" borderId="0" applyBorder="0" applyProtection="0"/>
    <xf numFmtId="0" fontId="49" fillId="0" borderId="7" applyNumberFormat="0" applyFill="0" applyAlignment="0" applyProtection="0"/>
    <xf numFmtId="0" fontId="50" fillId="0" borderId="0" applyBorder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51" fillId="0" borderId="8" applyNumberFormat="0" applyFill="0" applyAlignment="0" applyProtection="0"/>
    <xf numFmtId="0" fontId="52" fillId="0" borderId="8" applyNumberFormat="0" applyFill="0" applyProtection="0"/>
    <xf numFmtId="0" fontId="53" fillId="0" borderId="0" applyBorder="0" applyProtection="0"/>
    <xf numFmtId="0" fontId="51" fillId="0" borderId="8" applyNumberFormat="0" applyFill="0" applyAlignment="0" applyProtection="0"/>
    <xf numFmtId="0" fontId="54" fillId="0" borderId="9" applyNumberFormat="0" applyFill="0" applyAlignment="0" applyProtection="0"/>
    <xf numFmtId="0" fontId="54" fillId="0" borderId="9" applyNumberFormat="0" applyFill="0" applyAlignment="0" applyProtection="0"/>
    <xf numFmtId="0" fontId="95" fillId="0" borderId="9" applyNumberFormat="0" applyFill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48" fillId="0" borderId="0" applyBorder="0" applyProtection="0"/>
    <xf numFmtId="0" fontId="55" fillId="0" borderId="0">
      <alignment horizontal="center" textRotation="90"/>
    </xf>
    <xf numFmtId="0" fontId="56" fillId="0" borderId="0" applyBorder="0" applyProtection="0"/>
    <xf numFmtId="0" fontId="30" fillId="47" borderId="2" applyNumberFormat="0" applyAlignment="0" applyProtection="0"/>
    <xf numFmtId="0" fontId="30" fillId="36" borderId="2" applyNumberFormat="0" applyAlignment="0" applyProtection="0"/>
    <xf numFmtId="0" fontId="30" fillId="36" borderId="2" applyNumberFormat="0" applyAlignment="0" applyProtection="0"/>
    <xf numFmtId="0" fontId="30" fillId="33" borderId="2" applyNumberFormat="0" applyAlignment="0" applyProtection="0"/>
    <xf numFmtId="0" fontId="30" fillId="47" borderId="2" applyNumberFormat="0" applyAlignment="0" applyProtection="0"/>
    <xf numFmtId="0" fontId="30" fillId="47" borderId="2" applyNumberFormat="0" applyAlignment="0" applyProtection="0"/>
    <xf numFmtId="0" fontId="31" fillId="3" borderId="2" applyNumberFormat="0" applyAlignment="0" applyProtection="0"/>
    <xf numFmtId="0" fontId="30" fillId="36" borderId="2" applyNumberFormat="0" applyAlignment="0" applyProtection="0"/>
    <xf numFmtId="0" fontId="57" fillId="3" borderId="2" applyNumberFormat="0" applyAlignment="0" applyProtection="0"/>
    <xf numFmtId="0" fontId="57" fillId="3" borderId="2" applyNumberFormat="0" applyAlignment="0" applyProtection="0"/>
    <xf numFmtId="0" fontId="58" fillId="0" borderId="10" applyProtection="0"/>
    <xf numFmtId="0" fontId="59" fillId="0" borderId="11" applyNumberFormat="0" applyFill="0" applyAlignment="0" applyProtection="0"/>
    <xf numFmtId="0" fontId="59" fillId="0" borderId="11" applyNumberFormat="0" applyFill="0" applyAlignment="0" applyProtection="0"/>
    <xf numFmtId="0" fontId="70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70" fillId="0" borderId="11" applyNumberFormat="0" applyFill="0" applyAlignment="0" applyProtection="0"/>
    <xf numFmtId="0" fontId="28" fillId="51" borderId="3" applyNumberFormat="0" applyAlignment="0" applyProtection="0"/>
    <xf numFmtId="0" fontId="28" fillId="51" borderId="3" applyNumberFormat="0" applyAlignment="0" applyProtection="0"/>
    <xf numFmtId="0" fontId="108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108" fillId="51" borderId="3" applyNumberFormat="0" applyAlignment="0" applyProtection="0"/>
    <xf numFmtId="0" fontId="60" fillId="0" borderId="11" applyNumberFormat="0" applyFill="0" applyAlignment="0" applyProtection="0"/>
    <xf numFmtId="0" fontId="59" fillId="0" borderId="11" applyNumberFormat="0" applyFill="0" applyAlignment="0" applyProtection="0"/>
    <xf numFmtId="0" fontId="97" fillId="0" borderId="11" applyNumberFormat="0" applyFill="0" applyAlignment="0" applyProtection="0"/>
    <xf numFmtId="0" fontId="61" fillId="0" borderId="7" applyProtection="0"/>
    <xf numFmtId="0" fontId="62" fillId="0" borderId="12" applyProtection="0"/>
    <xf numFmtId="0" fontId="63" fillId="0" borderId="13" applyProtection="0"/>
    <xf numFmtId="0" fontId="63" fillId="0" borderId="13" applyProtection="0"/>
    <xf numFmtId="0" fontId="63" fillId="0" borderId="0" applyBorder="0" applyProtection="0"/>
    <xf numFmtId="0" fontId="64" fillId="0" borderId="15" applyProtection="0"/>
    <xf numFmtId="0" fontId="65" fillId="0" borderId="16" applyNumberFormat="0" applyFill="0" applyAlignment="0" applyProtection="0"/>
    <xf numFmtId="0" fontId="65" fillId="0" borderId="16" applyNumberFormat="0" applyFill="0" applyAlignment="0" applyProtection="0"/>
    <xf numFmtId="0" fontId="109" fillId="0" borderId="14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110" fillId="0" borderId="14" applyNumberFormat="0" applyFill="0" applyAlignment="0" applyProtection="0"/>
    <xf numFmtId="0" fontId="49" fillId="0" borderId="16" applyNumberFormat="0" applyFill="0" applyAlignment="0" applyProtection="0"/>
    <xf numFmtId="0" fontId="111" fillId="0" borderId="16" applyNumberFormat="0" applyFill="0" applyAlignment="0" applyProtection="0"/>
    <xf numFmtId="0" fontId="66" fillId="0" borderId="12" applyProtection="0"/>
    <xf numFmtId="0" fontId="67" fillId="0" borderId="17" applyNumberFormat="0" applyFill="0" applyAlignment="0" applyProtection="0"/>
    <xf numFmtId="0" fontId="67" fillId="0" borderId="17" applyNumberFormat="0" applyFill="0" applyAlignment="0" applyProtection="0"/>
    <xf numFmtId="0" fontId="112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113" fillId="0" borderId="8" applyNumberFormat="0" applyFill="0" applyAlignment="0" applyProtection="0"/>
    <xf numFmtId="0" fontId="51" fillId="0" borderId="8" applyNumberFormat="0" applyFill="0" applyAlignment="0" applyProtection="0"/>
    <xf numFmtId="0" fontId="114" fillId="0" borderId="8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115" fillId="0" borderId="19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116" fillId="0" borderId="19" applyNumberFormat="0" applyFill="0" applyAlignment="0" applyProtection="0"/>
    <xf numFmtId="0" fontId="54" fillId="0" borderId="18" applyNumberFormat="0" applyFill="0" applyAlignment="0" applyProtection="0"/>
    <xf numFmtId="0" fontId="117" fillId="0" borderId="18" applyNumberForma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69" fillId="47" borderId="0" applyNumberFormat="0" applyBorder="0" applyAlignment="0" applyProtection="0"/>
    <xf numFmtId="0" fontId="70" fillId="67" borderId="0" applyBorder="0" applyProtection="0"/>
    <xf numFmtId="0" fontId="70" fillId="67" borderId="0" applyBorder="0" applyProtection="0"/>
    <xf numFmtId="0" fontId="71" fillId="68" borderId="0" applyNumberFormat="0" applyBorder="0" applyProtection="0"/>
    <xf numFmtId="0" fontId="71" fillId="18" borderId="0" applyNumberFormat="0" applyBorder="0" applyAlignment="0" applyProtection="0"/>
    <xf numFmtId="0" fontId="72" fillId="69" borderId="0" applyBorder="0" applyProtection="0"/>
    <xf numFmtId="0" fontId="69" fillId="47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73" fillId="18" borderId="0" applyNumberFormat="0" applyBorder="0" applyAlignment="0" applyProtection="0"/>
    <xf numFmtId="0" fontId="118" fillId="18" borderId="0" applyNumberFormat="0" applyBorder="0" applyAlignment="0" applyProtection="0"/>
    <xf numFmtId="0" fontId="71" fillId="18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10" fillId="0" borderId="0"/>
    <xf numFmtId="0" fontId="7" fillId="0" borderId="0"/>
    <xf numFmtId="0" fontId="10" fillId="0" borderId="0"/>
    <xf numFmtId="0" fontId="8" fillId="0" borderId="0"/>
    <xf numFmtId="0" fontId="8" fillId="0" borderId="0"/>
    <xf numFmtId="0" fontId="7" fillId="0" borderId="0"/>
    <xf numFmtId="0" fontId="6" fillId="0" borderId="0"/>
    <xf numFmtId="0" fontId="42" fillId="0" borderId="0"/>
    <xf numFmtId="0" fontId="42" fillId="0" borderId="0"/>
    <xf numFmtId="0" fontId="7" fillId="0" borderId="0"/>
    <xf numFmtId="0" fontId="6" fillId="0" borderId="0"/>
    <xf numFmtId="0" fontId="4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11" fillId="0" borderId="0"/>
    <xf numFmtId="0" fontId="8" fillId="0" borderId="0"/>
    <xf numFmtId="0" fontId="8" fillId="0" borderId="0"/>
    <xf numFmtId="0" fontId="3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6" fillId="0" borderId="0"/>
    <xf numFmtId="0" fontId="6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4" fillId="0" borderId="0"/>
    <xf numFmtId="0" fontId="7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5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44" fillId="0" borderId="0"/>
    <xf numFmtId="0" fontId="7" fillId="0" borderId="0"/>
    <xf numFmtId="0" fontId="44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7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133" fillId="0" borderId="0"/>
    <xf numFmtId="0" fontId="11" fillId="0" borderId="0"/>
    <xf numFmtId="0" fontId="8" fillId="0" borderId="0"/>
    <xf numFmtId="0" fontId="11" fillId="0" borderId="0"/>
    <xf numFmtId="0" fontId="133" fillId="0" borderId="0"/>
    <xf numFmtId="0" fontId="4" fillId="0" borderId="0"/>
    <xf numFmtId="0" fontId="7" fillId="40" borderId="20" applyNumberFormat="0" applyFont="0" applyAlignment="0" applyProtection="0"/>
    <xf numFmtId="0" fontId="10" fillId="70" borderId="20" applyNumberFormat="0" applyProtection="0"/>
    <xf numFmtId="0" fontId="10" fillId="70" borderId="20" applyNumberForma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5" fillId="69" borderId="4" applyProtection="0"/>
    <xf numFmtId="0" fontId="75" fillId="69" borderId="4" applyProtection="0"/>
    <xf numFmtId="0" fontId="7" fillId="40" borderId="20" applyNumberFormat="0" applyFon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25" fillId="10" borderId="2" applyNumberFormat="0" applyAlignment="0" applyProtection="0"/>
    <xf numFmtId="0" fontId="25" fillId="10" borderId="2" applyNumberFormat="0" applyAlignment="0" applyProtection="0"/>
    <xf numFmtId="0" fontId="119" fillId="10" borderId="2" applyNumberFormat="0" applyAlignment="0" applyProtection="0"/>
    <xf numFmtId="0" fontId="98" fillId="4" borderId="2" applyNumberFormat="0" applyAlignment="0" applyProtection="0"/>
    <xf numFmtId="0" fontId="98" fillId="4" borderId="2" applyNumberFormat="0" applyAlignment="0" applyProtection="0"/>
    <xf numFmtId="0" fontId="98" fillId="10" borderId="2" applyNumberFormat="0" applyAlignment="0" applyProtection="0"/>
    <xf numFmtId="0" fontId="98" fillId="4" borderId="2" applyNumberFormat="0" applyAlignment="0" applyProtection="0"/>
    <xf numFmtId="0" fontId="119" fillId="4" borderId="2" applyNumberFormat="0" applyAlignment="0" applyProtection="0"/>
    <xf numFmtId="0" fontId="33" fillId="57" borderId="1" applyNumberFormat="0" applyAlignment="0" applyProtection="0"/>
    <xf numFmtId="0" fontId="21" fillId="10" borderId="1" applyNumberFormat="0" applyAlignment="0" applyProtection="0"/>
    <xf numFmtId="0" fontId="21" fillId="57" borderId="1" applyNumberFormat="0" applyAlignment="0" applyProtection="0"/>
    <xf numFmtId="9" fontId="76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77" fillId="0" borderId="0" applyNumberFormat="0" applyBorder="0" applyProtection="0"/>
    <xf numFmtId="0" fontId="121" fillId="0" borderId="0" applyNumberFormat="0" applyBorder="0" applyProtection="0"/>
    <xf numFmtId="0" fontId="122" fillId="0" borderId="0" applyNumberFormat="0" applyBorder="0" applyProtection="0"/>
    <xf numFmtId="0" fontId="122" fillId="0" borderId="0" applyNumberFormat="0" applyBorder="0" applyProtection="0"/>
    <xf numFmtId="0" fontId="121" fillId="0" borderId="0" applyNumberFormat="0" applyBorder="0" applyProtection="0"/>
    <xf numFmtId="0" fontId="121" fillId="0" borderId="0" applyNumberFormat="0" applyBorder="0" applyProtection="0"/>
    <xf numFmtId="0" fontId="77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0" fontId="78" fillId="0" borderId="0"/>
    <xf numFmtId="166" fontId="78" fillId="0" borderId="0"/>
    <xf numFmtId="0" fontId="23" fillId="8" borderId="0" applyNumberFormat="0" applyBorder="0" applyAlignment="0" applyProtection="0"/>
    <xf numFmtId="0" fontId="79" fillId="0" borderId="0" applyNumberFormat="0" applyFill="0" applyBorder="0" applyAlignment="0" applyProtection="0"/>
    <xf numFmtId="0" fontId="42" fillId="0" borderId="0"/>
    <xf numFmtId="0" fontId="76" fillId="0" borderId="0"/>
    <xf numFmtId="0" fontId="76" fillId="0" borderId="0"/>
    <xf numFmtId="0" fontId="123" fillId="0" borderId="0"/>
    <xf numFmtId="0" fontId="42" fillId="0" borderId="0" applyNumberFormat="0" applyFont="0" applyBorder="0" applyProtection="0"/>
    <xf numFmtId="0" fontId="42" fillId="0" borderId="0" applyNumberFormat="0" applyFont="0" applyBorder="0" applyProtection="0"/>
    <xf numFmtId="0" fontId="42" fillId="0" borderId="0"/>
    <xf numFmtId="0" fontId="76" fillId="0" borderId="0"/>
    <xf numFmtId="0" fontId="42" fillId="0" borderId="0"/>
    <xf numFmtId="0" fontId="80" fillId="0" borderId="0"/>
    <xf numFmtId="0" fontId="42" fillId="0" borderId="0"/>
    <xf numFmtId="0" fontId="42" fillId="0" borderId="0"/>
    <xf numFmtId="0" fontId="6" fillId="0" borderId="0"/>
    <xf numFmtId="0" fontId="7" fillId="0" borderId="0"/>
    <xf numFmtId="0" fontId="42" fillId="0" borderId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124" fillId="0" borderId="21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124" fillId="0" borderId="6" applyNumberFormat="0" applyFill="0" applyAlignment="0" applyProtection="0"/>
    <xf numFmtId="0" fontId="42" fillId="0" borderId="0"/>
    <xf numFmtId="0" fontId="81" fillId="0" borderId="0" applyBorder="0" applyProtection="0"/>
    <xf numFmtId="0" fontId="8" fillId="0" borderId="0"/>
    <xf numFmtId="0" fontId="8" fillId="0" borderId="0"/>
    <xf numFmtId="0" fontId="125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3" fillId="0" borderId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9" fillId="0" borderId="0" applyBorder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84" fillId="0" borderId="0" applyNumberFormat="0" applyFill="0" applyBorder="0" applyAlignment="0" applyProtection="0"/>
    <xf numFmtId="0" fontId="85" fillId="0" borderId="6" applyNumberFormat="0" applyFill="0" applyAlignment="0" applyProtection="0"/>
    <xf numFmtId="0" fontId="85" fillId="0" borderId="6" applyNumberFormat="0" applyFill="0" applyAlignment="0" applyProtection="0"/>
    <xf numFmtId="0" fontId="37" fillId="0" borderId="22" applyNumberFormat="0" applyFill="0" applyAlignment="0" applyProtection="0"/>
    <xf numFmtId="0" fontId="38" fillId="0" borderId="21" applyNumberFormat="0" applyFill="0" applyAlignment="0" applyProtection="0"/>
    <xf numFmtId="0" fontId="38" fillId="0" borderId="22" applyNumberFormat="0" applyFill="0" applyAlignment="0" applyProtection="0"/>
    <xf numFmtId="0" fontId="86" fillId="0" borderId="0" applyBorder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65" fillId="0" borderId="16" applyNumberFormat="0" applyFill="0" applyAlignment="0" applyProtection="0"/>
    <xf numFmtId="0" fontId="67" fillId="0" borderId="17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6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10" borderId="1" applyNumberFormat="0" applyAlignment="0" applyProtection="0"/>
    <xf numFmtId="0" fontId="88" fillId="10" borderId="1" applyNumberForma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9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89" fillId="0" borderId="0" applyNumberFormat="0" applyFill="0" applyBorder="0" applyAlignment="0" applyProtection="0"/>
    <xf numFmtId="0" fontId="59" fillId="0" borderId="11" applyNumberFormat="0" applyFill="0" applyAlignment="0" applyProtection="0"/>
    <xf numFmtId="0" fontId="90" fillId="0" borderId="0" applyNumberFormat="0" applyFill="0" applyBorder="0" applyAlignment="0" applyProtection="0"/>
    <xf numFmtId="44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4" fontId="7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24" fillId="0" borderId="0" applyBorder="0" applyProtection="0"/>
    <xf numFmtId="0" fontId="24" fillId="0" borderId="0" applyBorder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91" fillId="71" borderId="0" applyBorder="0" applyProtection="0"/>
    <xf numFmtId="0" fontId="28" fillId="51" borderId="3" applyNumberFormat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92" fillId="8" borderId="0" applyNumberFormat="0" applyBorder="0" applyAlignment="0" applyProtection="0"/>
    <xf numFmtId="0" fontId="127" fillId="8" borderId="0" applyNumberFormat="0" applyBorder="0" applyAlignment="0" applyProtection="0"/>
    <xf numFmtId="0" fontId="23" fillId="8" borderId="0" applyNumberFormat="0" applyBorder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100" fillId="8" borderId="0" applyNumberFormat="0" applyBorder="0" applyAlignment="0" applyProtection="0"/>
    <xf numFmtId="0" fontId="100" fillId="8" borderId="0" applyNumberFormat="0" applyBorder="0" applyAlignment="0" applyProtection="0"/>
    <xf numFmtId="0" fontId="4" fillId="0" borderId="0"/>
    <xf numFmtId="0" fontId="132" fillId="0" borderId="0"/>
    <xf numFmtId="0" fontId="132" fillId="0" borderId="0"/>
    <xf numFmtId="0" fontId="3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1" fillId="6" borderId="0" applyNumberFormat="0" applyBorder="0" applyAlignment="0" applyProtection="0"/>
    <xf numFmtId="0" fontId="3" fillId="3" borderId="0" applyNumberFormat="0" applyBorder="0" applyAlignment="0" applyProtection="0"/>
    <xf numFmtId="0" fontId="1" fillId="8" borderId="0" applyNumberFormat="0" applyBorder="0" applyAlignment="0" applyProtection="0"/>
    <xf numFmtId="0" fontId="3" fillId="4" borderId="0" applyNumberFormat="0" applyBorder="0" applyAlignment="0" applyProtection="0"/>
    <xf numFmtId="0" fontId="1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9" borderId="0" applyNumberFormat="0" applyBorder="0" applyAlignment="0" applyProtection="0"/>
    <xf numFmtId="0" fontId="3" fillId="2" borderId="0" applyNumberFormat="0" applyBorder="0" applyAlignment="0" applyProtection="0"/>
    <xf numFmtId="0" fontId="1" fillId="2" borderId="0" applyNumberFormat="0" applyBorder="0" applyAlignment="0" applyProtection="0"/>
    <xf numFmtId="0" fontId="3" fillId="7" borderId="0" applyNumberFormat="0" applyBorder="0" applyAlignment="0" applyProtection="0"/>
    <xf numFmtId="0" fontId="1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3" borderId="0" applyNumberFormat="0" applyBorder="0" applyAlignment="0" applyProtection="0"/>
    <xf numFmtId="0" fontId="1" fillId="12" borderId="0" applyNumberFormat="0" applyBorder="0" applyAlignment="0" applyProtection="0"/>
    <xf numFmtId="0" fontId="3" fillId="10" borderId="0" applyNumberFormat="0" applyBorder="0" applyAlignment="0" applyProtection="0"/>
    <xf numFmtId="0" fontId="1" fillId="19" borderId="0" applyNumberFormat="0" applyBorder="0" applyAlignment="0" applyProtection="0"/>
    <xf numFmtId="0" fontId="3" fillId="18" borderId="0" applyNumberFormat="0" applyBorder="0" applyAlignment="0" applyProtection="0"/>
    <xf numFmtId="0" fontId="1" fillId="9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6" applyNumberFormat="0" applyFill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1" fillId="6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" borderId="0" applyNumberFormat="0" applyBorder="0" applyAlignment="0" applyProtection="0"/>
    <xf numFmtId="0" fontId="1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43" fontId="3" fillId="0" borderId="0" applyFont="0" applyFill="0" applyBorder="0" applyAlignment="0" applyProtection="0"/>
    <xf numFmtId="9" fontId="3" fillId="0" borderId="0" applyFill="0" applyBorder="0" applyAlignment="0" applyProtection="0"/>
    <xf numFmtId="0" fontId="3" fillId="0" borderId="0"/>
    <xf numFmtId="0" fontId="2" fillId="0" borderId="21" applyNumberFormat="0" applyFill="0" applyAlignment="0" applyProtection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44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32" fillId="0" borderId="0"/>
    <xf numFmtId="0" fontId="132" fillId="0" borderId="0"/>
    <xf numFmtId="44" fontId="3" fillId="0" borderId="0" applyFont="0" applyFill="0" applyBorder="0" applyAlignment="0" applyProtection="0"/>
    <xf numFmtId="0" fontId="132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32" fillId="0" borderId="0"/>
    <xf numFmtId="0" fontId="132" fillId="0" borderId="0"/>
    <xf numFmtId="0" fontId="3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43" fontId="3" fillId="0" borderId="0" applyFont="0" applyFill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3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9" borderId="0" applyNumberFormat="0" applyBorder="0" applyAlignment="0" applyProtection="0"/>
    <xf numFmtId="0" fontId="1" fillId="20" borderId="0" applyNumberFormat="0" applyBorder="0" applyAlignment="0" applyProtection="0"/>
    <xf numFmtId="0" fontId="36" fillId="7" borderId="0" applyNumberFormat="0" applyBorder="0" applyAlignment="0" applyProtection="0"/>
    <xf numFmtId="43" fontId="3" fillId="0" borderId="0" applyFont="0" applyFill="0" applyBorder="0" applyAlignment="0" applyProtection="0"/>
    <xf numFmtId="0" fontId="71" fillId="18" borderId="0" applyNumberFormat="0" applyBorder="0" applyAlignment="0" applyProtection="0"/>
    <xf numFmtId="0" fontId="23" fillId="8" borderId="0" applyNumberFormat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9" fillId="0" borderId="0" applyNumberFormat="0" applyFont="0" applyBorder="0" applyProtection="0"/>
    <xf numFmtId="0" fontId="77" fillId="0" borderId="0" applyNumberFormat="0" applyBorder="0" applyProtection="0"/>
    <xf numFmtId="0" fontId="77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6" fillId="0" borderId="0"/>
    <xf numFmtId="0" fontId="132" fillId="0" borderId="0"/>
    <xf numFmtId="43" fontId="132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132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5" fillId="7" borderId="0" applyNumberFormat="0" applyBorder="0" applyAlignment="0" applyProtection="0"/>
    <xf numFmtId="0" fontId="69" fillId="18" borderId="0" applyNumberFormat="0" applyBorder="0" applyAlignment="0" applyProtection="0"/>
    <xf numFmtId="0" fontId="7" fillId="0" borderId="0"/>
    <xf numFmtId="0" fontId="93" fillId="8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1" fillId="6" borderId="0" applyNumberFormat="0" applyBorder="0" applyAlignment="0" applyProtection="0"/>
    <xf numFmtId="0" fontId="9" fillId="82" borderId="0" applyNumberFormat="0" applyBorder="0" applyAlignment="0" applyProtection="0"/>
    <xf numFmtId="0" fontId="3" fillId="6" borderId="0" applyNumberFormat="0" applyBorder="0" applyAlignment="0" applyProtection="0"/>
    <xf numFmtId="0" fontId="9" fillId="83" borderId="0" applyNumberFormat="0" applyBorder="0" applyAlignment="0" applyProtection="0"/>
    <xf numFmtId="0" fontId="3" fillId="84" borderId="0" applyNumberFormat="0" applyBorder="0" applyProtection="0"/>
    <xf numFmtId="0" fontId="9" fillId="6" borderId="0" applyNumberFormat="0" applyBorder="0" applyAlignment="0" applyProtection="0"/>
    <xf numFmtId="0" fontId="3" fillId="10" borderId="0" applyNumberFormat="0" applyBorder="0" applyAlignment="0" applyProtection="0"/>
    <xf numFmtId="0" fontId="1" fillId="3" borderId="0" applyNumberFormat="0" applyBorder="0" applyAlignment="0" applyProtection="0"/>
    <xf numFmtId="0" fontId="9" fillId="85" borderId="0" applyNumberFormat="0" applyBorder="0" applyAlignment="0" applyProtection="0"/>
    <xf numFmtId="0" fontId="3" fillId="8" borderId="0" applyNumberFormat="0" applyBorder="0" applyAlignment="0" applyProtection="0"/>
    <xf numFmtId="0" fontId="9" fillId="86" borderId="0" applyNumberFormat="0" applyBorder="0" applyAlignment="0" applyProtection="0"/>
    <xf numFmtId="0" fontId="3" fillId="55" borderId="0" applyNumberFormat="0" applyBorder="0" applyProtection="0"/>
    <xf numFmtId="0" fontId="9" fillId="8" borderId="0" applyNumberFormat="0" applyBorder="0" applyAlignment="0" applyProtection="0"/>
    <xf numFmtId="0" fontId="1" fillId="4" borderId="0" applyNumberFormat="0" applyBorder="0" applyAlignment="0" applyProtection="0"/>
    <xf numFmtId="0" fontId="9" fillId="87" borderId="0" applyNumberFormat="0" applyBorder="0" applyAlignment="0" applyProtection="0"/>
    <xf numFmtId="0" fontId="3" fillId="7" borderId="0" applyNumberFormat="0" applyBorder="0" applyAlignment="0" applyProtection="0"/>
    <xf numFmtId="0" fontId="9" fillId="70" borderId="0" applyNumberFormat="0" applyBorder="0" applyAlignment="0" applyProtection="0"/>
    <xf numFmtId="0" fontId="3" fillId="65" borderId="0" applyNumberFormat="0" applyBorder="0" applyProtection="0"/>
    <xf numFmtId="0" fontId="9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5" borderId="0" applyNumberFormat="0" applyBorder="0" applyAlignment="0" applyProtection="0"/>
    <xf numFmtId="0" fontId="9" fillId="88" borderId="0" applyNumberFormat="0" applyBorder="0" applyAlignment="0" applyProtection="0"/>
    <xf numFmtId="0" fontId="3" fillId="9" borderId="0" applyNumberFormat="0" applyBorder="0" applyAlignment="0" applyProtection="0"/>
    <xf numFmtId="0" fontId="9" fillId="89" borderId="0" applyNumberFormat="0" applyBorder="0" applyAlignment="0" applyProtection="0"/>
    <xf numFmtId="0" fontId="3" fillId="90" borderId="0" applyNumberFormat="0" applyBorder="0" applyProtection="0"/>
    <xf numFmtId="0" fontId="9" fillId="9" borderId="0" applyNumberFormat="0" applyBorder="0" applyAlignment="0" applyProtection="0"/>
    <xf numFmtId="0" fontId="3" fillId="18" borderId="0" applyNumberFormat="0" applyBorder="0" applyAlignment="0" applyProtection="0"/>
    <xf numFmtId="0" fontId="1" fillId="2" borderId="0" applyNumberFormat="0" applyBorder="0" applyAlignment="0" applyProtection="0"/>
    <xf numFmtId="0" fontId="9" fillId="91" borderId="0" applyNumberFormat="0" applyBorder="0" applyAlignment="0" applyProtection="0"/>
    <xf numFmtId="0" fontId="3" fillId="2" borderId="0" applyNumberFormat="0" applyBorder="0" applyAlignment="0" applyProtection="0"/>
    <xf numFmtId="0" fontId="9" fillId="83" borderId="0" applyNumberFormat="0" applyBorder="0" applyAlignment="0" applyProtection="0"/>
    <xf numFmtId="0" fontId="3" fillId="92" borderId="0" applyNumberFormat="0" applyBorder="0" applyProtection="0"/>
    <xf numFmtId="0" fontId="9" fillId="2" borderId="0" applyNumberFormat="0" applyBorder="0" applyAlignment="0" applyProtection="0"/>
    <xf numFmtId="0" fontId="3" fillId="10" borderId="0" applyNumberFormat="0" applyBorder="0" applyAlignment="0" applyProtection="0"/>
    <xf numFmtId="0" fontId="1" fillId="7" borderId="0" applyNumberFormat="0" applyBorder="0" applyAlignment="0" applyProtection="0"/>
    <xf numFmtId="0" fontId="9" fillId="73" borderId="0" applyNumberFormat="0" applyBorder="0" applyAlignment="0" applyProtection="0"/>
    <xf numFmtId="0" fontId="3" fillId="3" borderId="0" applyNumberFormat="0" applyBorder="0" applyAlignment="0" applyProtection="0"/>
    <xf numFmtId="0" fontId="9" fillId="86" borderId="0" applyNumberFormat="0" applyBorder="0" applyAlignment="0" applyProtection="0"/>
    <xf numFmtId="0" fontId="3" fillId="93" borderId="0" applyNumberFormat="0" applyBorder="0" applyProtection="0"/>
    <xf numFmtId="0" fontId="9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17" borderId="0" applyNumberFormat="0" applyBorder="0" applyAlignment="0" applyProtection="0"/>
    <xf numFmtId="0" fontId="9" fillId="72" borderId="0" applyNumberFormat="0" applyBorder="0" applyAlignment="0" applyProtection="0"/>
    <xf numFmtId="0" fontId="3" fillId="17" borderId="0" applyNumberFormat="0" applyBorder="0" applyAlignment="0" applyProtection="0"/>
    <xf numFmtId="0" fontId="9" fillId="83" borderId="0" applyNumberFormat="0" applyBorder="0" applyAlignment="0" applyProtection="0"/>
    <xf numFmtId="0" fontId="3" fillId="94" borderId="0" applyNumberFormat="0" applyBorder="0" applyProtection="0"/>
    <xf numFmtId="0" fontId="9" fillId="17" borderId="0" applyNumberFormat="0" applyBorder="0" applyAlignment="0" applyProtection="0"/>
    <xf numFmtId="0" fontId="3" fillId="10" borderId="0" applyNumberFormat="0" applyBorder="0" applyAlignment="0" applyProtection="0"/>
    <xf numFmtId="0" fontId="1" fillId="3" borderId="0" applyNumberFormat="0" applyBorder="0" applyAlignment="0" applyProtection="0"/>
    <xf numFmtId="0" fontId="9" fillId="95" borderId="0" applyNumberFormat="0" applyBorder="0" applyAlignment="0" applyProtection="0"/>
    <xf numFmtId="0" fontId="3" fillId="12" borderId="0" applyNumberFormat="0" applyBorder="0" applyAlignment="0" applyProtection="0"/>
    <xf numFmtId="0" fontId="9" fillId="96" borderId="0" applyNumberFormat="0" applyBorder="0" applyAlignment="0" applyProtection="0"/>
    <xf numFmtId="0" fontId="3" fillId="96" borderId="0" applyNumberFormat="0" applyBorder="0" applyProtection="0"/>
    <xf numFmtId="0" fontId="9" fillId="12" borderId="0" applyNumberFormat="0" applyBorder="0" applyAlignment="0" applyProtection="0"/>
    <xf numFmtId="0" fontId="3" fillId="8" borderId="0" applyNumberFormat="0" applyBorder="0" applyAlignment="0" applyProtection="0"/>
    <xf numFmtId="0" fontId="1" fillId="10" borderId="0" applyNumberFormat="0" applyBorder="0" applyAlignment="0" applyProtection="0"/>
    <xf numFmtId="0" fontId="9" fillId="97" borderId="0" applyNumberFormat="0" applyBorder="0" applyAlignment="0" applyProtection="0"/>
    <xf numFmtId="0" fontId="3" fillId="19" borderId="0" applyNumberFormat="0" applyBorder="0" applyAlignment="0" applyProtection="0"/>
    <xf numFmtId="0" fontId="9" fillId="68" borderId="0" applyNumberFormat="0" applyBorder="0" applyAlignment="0" applyProtection="0"/>
    <xf numFmtId="0" fontId="3" fillId="98" borderId="0" applyNumberFormat="0" applyBorder="0" applyProtection="0"/>
    <xf numFmtId="0" fontId="9" fillId="19" borderId="0" applyNumberFormat="0" applyBorder="0" applyAlignment="0" applyProtection="0"/>
    <xf numFmtId="0" fontId="3" fillId="6" borderId="0" applyNumberFormat="0" applyBorder="0" applyAlignment="0" applyProtection="0"/>
    <xf numFmtId="0" fontId="1" fillId="18" borderId="0" applyNumberFormat="0" applyBorder="0" applyAlignment="0" applyProtection="0"/>
    <xf numFmtId="0" fontId="9" fillId="88" borderId="0" applyNumberFormat="0" applyBorder="0" applyAlignment="0" applyProtection="0"/>
    <xf numFmtId="0" fontId="3" fillId="9" borderId="0" applyNumberFormat="0" applyBorder="0" applyAlignment="0" applyProtection="0"/>
    <xf numFmtId="0" fontId="9" fillId="83" borderId="0" applyNumberFormat="0" applyBorder="0" applyAlignment="0" applyProtection="0"/>
    <xf numFmtId="0" fontId="3" fillId="90" borderId="0" applyNumberFormat="0" applyBorder="0" applyProtection="0"/>
    <xf numFmtId="0" fontId="9" fillId="9" borderId="0" applyNumberFormat="0" applyBorder="0" applyAlignment="0" applyProtection="0"/>
    <xf numFmtId="0" fontId="3" fillId="18" borderId="0" applyNumberFormat="0" applyBorder="0" applyAlignment="0" applyProtection="0"/>
    <xf numFmtId="0" fontId="1" fillId="17" borderId="0" applyNumberFormat="0" applyBorder="0" applyAlignment="0" applyProtection="0"/>
    <xf numFmtId="0" fontId="9" fillId="72" borderId="0" applyNumberFormat="0" applyBorder="0" applyAlignment="0" applyProtection="0"/>
    <xf numFmtId="0" fontId="3" fillId="17" borderId="0" applyNumberFormat="0" applyBorder="0" applyAlignment="0" applyProtection="0"/>
    <xf numFmtId="0" fontId="9" fillId="83" borderId="0" applyNumberFormat="0" applyBorder="0" applyAlignment="0" applyProtection="0"/>
    <xf numFmtId="0" fontId="3" fillId="94" borderId="0" applyNumberFormat="0" applyBorder="0" applyProtection="0"/>
    <xf numFmtId="0" fontId="9" fillId="17" borderId="0" applyNumberFormat="0" applyBorder="0" applyAlignment="0" applyProtection="0"/>
    <xf numFmtId="0" fontId="3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9" borderId="0" applyNumberFormat="0" applyBorder="0" applyAlignment="0" applyProtection="0"/>
    <xf numFmtId="0" fontId="3" fillId="20" borderId="0" applyNumberFormat="0" applyBorder="0" applyAlignment="0" applyProtection="0"/>
    <xf numFmtId="0" fontId="9" fillId="86" borderId="0" applyNumberFormat="0" applyBorder="0" applyAlignment="0" applyProtection="0"/>
    <xf numFmtId="0" fontId="3" fillId="100" borderId="0" applyNumberFormat="0" applyBorder="0" applyProtection="0"/>
    <xf numFmtId="0" fontId="9" fillId="20" borderId="0" applyNumberFormat="0" applyBorder="0" applyAlignment="0" applyProtection="0"/>
    <xf numFmtId="0" fontId="3" fillId="7" borderId="0" applyNumberFormat="0" applyBorder="0" applyAlignment="0" applyProtection="0"/>
    <xf numFmtId="0" fontId="1" fillId="23" borderId="0" applyNumberFormat="0" applyBorder="0" applyAlignment="0" applyProtection="0"/>
    <xf numFmtId="0" fontId="13" fillId="101" borderId="0" applyNumberFormat="0" applyBorder="0" applyAlignment="0" applyProtection="0"/>
    <xf numFmtId="0" fontId="3" fillId="25" borderId="0" applyNumberFormat="0" applyBorder="0" applyAlignment="0" applyProtection="0"/>
    <xf numFmtId="0" fontId="13" fillId="83" borderId="0" applyNumberFormat="0" applyBorder="0" applyAlignment="0" applyProtection="0"/>
    <xf numFmtId="0" fontId="12" fillId="102" borderId="0" applyNumberFormat="0" applyBorder="0" applyProtection="0"/>
    <xf numFmtId="0" fontId="13" fillId="25" borderId="0" applyNumberFormat="0" applyBorder="0" applyAlignment="0" applyProtection="0"/>
    <xf numFmtId="0" fontId="12" fillId="10" borderId="0" applyNumberFormat="0" applyBorder="0" applyAlignment="0" applyProtection="0"/>
    <xf numFmtId="0" fontId="1" fillId="3" borderId="0" applyNumberFormat="0" applyBorder="0" applyAlignment="0" applyProtection="0"/>
    <xf numFmtId="0" fontId="13" fillId="95" borderId="0" applyNumberFormat="0" applyBorder="0" applyAlignment="0" applyProtection="0"/>
    <xf numFmtId="0" fontId="3" fillId="12" borderId="0" applyNumberFormat="0" applyBorder="0" applyAlignment="0" applyProtection="0"/>
    <xf numFmtId="0" fontId="13" fillId="96" borderId="0" applyNumberFormat="0" applyBorder="0" applyAlignment="0" applyProtection="0"/>
    <xf numFmtId="0" fontId="12" fillId="96" borderId="0" applyNumberFormat="0" applyBorder="0" applyProtection="0"/>
    <xf numFmtId="0" fontId="13" fillId="12" borderId="0" applyNumberFormat="0" applyBorder="0" applyAlignment="0" applyProtection="0"/>
    <xf numFmtId="0" fontId="12" fillId="8" borderId="0" applyNumberFormat="0" applyBorder="0" applyAlignment="0" applyProtection="0"/>
    <xf numFmtId="0" fontId="1" fillId="10" borderId="0" applyNumberFormat="0" applyBorder="0" applyAlignment="0" applyProtection="0"/>
    <xf numFmtId="0" fontId="13" fillId="97" borderId="0" applyNumberFormat="0" applyBorder="0" applyAlignment="0" applyProtection="0"/>
    <xf numFmtId="0" fontId="3" fillId="19" borderId="0" applyNumberFormat="0" applyBorder="0" applyAlignment="0" applyProtection="0"/>
    <xf numFmtId="0" fontId="13" fillId="103" borderId="0" applyNumberFormat="0" applyBorder="0" applyAlignment="0" applyProtection="0"/>
    <xf numFmtId="0" fontId="12" fillId="98" borderId="0" applyNumberFormat="0" applyBorder="0" applyProtection="0"/>
    <xf numFmtId="0" fontId="13" fillId="19" borderId="0" applyNumberFormat="0" applyBorder="0" applyAlignment="0" applyProtection="0"/>
    <xf numFmtId="0" fontId="12" fillId="6" borderId="0" applyNumberFormat="0" applyBorder="0" applyAlignment="0" applyProtection="0"/>
    <xf numFmtId="0" fontId="1" fillId="18" borderId="0" applyNumberFormat="0" applyBorder="0" applyAlignment="0" applyProtection="0"/>
    <xf numFmtId="0" fontId="13" fillId="104" borderId="0" applyNumberFormat="0" applyBorder="0" applyAlignment="0" applyProtection="0"/>
    <xf numFmtId="0" fontId="3" fillId="21" borderId="0" applyNumberFormat="0" applyBorder="0" applyAlignment="0" applyProtection="0"/>
    <xf numFmtId="0" fontId="13" fillId="83" borderId="0" applyNumberFormat="0" applyBorder="0" applyAlignment="0" applyProtection="0"/>
    <xf numFmtId="0" fontId="12" fillId="105" borderId="0" applyNumberFormat="0" applyBorder="0" applyProtection="0"/>
    <xf numFmtId="0" fontId="13" fillId="21" borderId="0" applyNumberFormat="0" applyBorder="0" applyAlignment="0" applyProtection="0"/>
    <xf numFmtId="0" fontId="12" fillId="3" borderId="0" applyNumberFormat="0" applyBorder="0" applyAlignment="0" applyProtection="0"/>
    <xf numFmtId="0" fontId="1" fillId="17" borderId="0" applyNumberFormat="0" applyBorder="0" applyAlignment="0" applyProtection="0"/>
    <xf numFmtId="0" fontId="13" fillId="106" borderId="0" applyNumberFormat="0" applyBorder="0" applyAlignment="0" applyProtection="0"/>
    <xf numFmtId="0" fontId="3" fillId="23" borderId="0" applyNumberFormat="0" applyBorder="0" applyAlignment="0" applyProtection="0"/>
    <xf numFmtId="0" fontId="13" fillId="83" borderId="0" applyNumberFormat="0" applyBorder="0" applyAlignment="0" applyProtection="0"/>
    <xf numFmtId="0" fontId="12" fillId="107" borderId="0" applyNumberFormat="0" applyBorder="0" applyProtection="0"/>
    <xf numFmtId="0" fontId="13" fillId="23" borderId="0" applyNumberFormat="0" applyBorder="0" applyAlignment="0" applyProtection="0"/>
    <xf numFmtId="0" fontId="12" fillId="10" borderId="0" applyNumberFormat="0" applyBorder="0" applyAlignment="0" applyProtection="0"/>
    <xf numFmtId="0" fontId="1" fillId="24" borderId="0" applyNumberFormat="0" applyBorder="0" applyAlignment="0" applyProtection="0"/>
    <xf numFmtId="0" fontId="13" fillId="108" borderId="0" applyNumberFormat="0" applyBorder="0" applyAlignment="0" applyProtection="0"/>
    <xf numFmtId="0" fontId="3" fillId="26" borderId="0" applyNumberFormat="0" applyBorder="0" applyAlignment="0" applyProtection="0"/>
    <xf numFmtId="0" fontId="13" fillId="86" borderId="0" applyNumberFormat="0" applyBorder="0" applyAlignment="0" applyProtection="0"/>
    <xf numFmtId="0" fontId="12" fillId="109" borderId="0" applyNumberFormat="0" applyBorder="0" applyProtection="0"/>
    <xf numFmtId="0" fontId="13" fillId="26" borderId="0" applyNumberFormat="0" applyBorder="0" applyAlignment="0" applyProtection="0"/>
    <xf numFmtId="0" fontId="12" fillId="7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0" fontId="3" fillId="0" borderId="0"/>
    <xf numFmtId="0" fontId="56" fillId="0" borderId="0" applyBorder="0" applyProtection="0"/>
    <xf numFmtId="0" fontId="44" fillId="0" borderId="0"/>
    <xf numFmtId="0" fontId="123" fillId="0" borderId="0"/>
    <xf numFmtId="0" fontId="42" fillId="0" borderId="0"/>
    <xf numFmtId="0" fontId="3" fillId="0" borderId="0"/>
  </cellStyleXfs>
  <cellXfs count="77">
    <xf numFmtId="0" fontId="0" fillId="0" borderId="0" xfId="0"/>
    <xf numFmtId="0" fontId="2" fillId="0" borderId="0" xfId="0" applyFont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7" xfId="0" applyBorder="1"/>
    <xf numFmtId="0" fontId="102" fillId="74" borderId="33" xfId="0" applyFont="1" applyFill="1" applyBorder="1"/>
    <xf numFmtId="0" fontId="131" fillId="0" borderId="25" xfId="3495" applyFont="1" applyBorder="1"/>
    <xf numFmtId="14" fontId="0" fillId="0" borderId="25" xfId="0" applyNumberFormat="1" applyBorder="1"/>
    <xf numFmtId="9" fontId="0" fillId="0" borderId="25" xfId="0" applyNumberFormat="1" applyBorder="1"/>
    <xf numFmtId="0" fontId="102" fillId="75" borderId="34" xfId="0" applyFont="1" applyFill="1" applyBorder="1"/>
    <xf numFmtId="0" fontId="0" fillId="0" borderId="35" xfId="0" applyBorder="1"/>
    <xf numFmtId="0" fontId="2" fillId="0" borderId="37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73" borderId="31" xfId="0" applyFill="1" applyBorder="1"/>
    <xf numFmtId="0" fontId="0" fillId="72" borderId="31" xfId="0" applyFill="1" applyBorder="1"/>
    <xf numFmtId="0" fontId="0" fillId="77" borderId="38" xfId="0" applyFill="1" applyBorder="1"/>
    <xf numFmtId="0" fontId="2" fillId="76" borderId="36" xfId="0" applyFont="1" applyFill="1" applyBorder="1"/>
    <xf numFmtId="0" fontId="134" fillId="78" borderId="36" xfId="0" applyFont="1" applyFill="1" applyBorder="1"/>
    <xf numFmtId="0" fontId="134" fillId="78" borderId="33" xfId="0" applyFont="1" applyFill="1" applyBorder="1"/>
    <xf numFmtId="0" fontId="134" fillId="79" borderId="31" xfId="0" applyFont="1" applyFill="1" applyBorder="1"/>
    <xf numFmtId="49" fontId="0" fillId="0" borderId="0" xfId="0" applyNumberFormat="1"/>
    <xf numFmtId="0" fontId="136" fillId="0" borderId="37" xfId="0" applyFont="1" applyBorder="1" applyAlignment="1">
      <alignment horizontal="center" vertical="center"/>
    </xf>
    <xf numFmtId="0" fontId="137" fillId="0" borderId="37" xfId="0" applyFont="1" applyBorder="1" applyAlignment="1">
      <alignment horizontal="center" vertical="center"/>
    </xf>
    <xf numFmtId="0" fontId="135" fillId="0" borderId="37" xfId="0" applyFont="1" applyBorder="1" applyAlignment="1">
      <alignment horizontal="center" vertical="center"/>
    </xf>
    <xf numFmtId="0" fontId="0" fillId="80" borderId="25" xfId="0" applyFill="1" applyBorder="1"/>
    <xf numFmtId="0" fontId="0" fillId="80" borderId="40" xfId="0" applyFill="1" applyBorder="1"/>
    <xf numFmtId="0" fontId="0" fillId="0" borderId="40" xfId="0" applyBorder="1"/>
    <xf numFmtId="0" fontId="0" fillId="80" borderId="27" xfId="0" applyFill="1" applyBorder="1"/>
    <xf numFmtId="0" fontId="0" fillId="80" borderId="29" xfId="0" applyFill="1" applyBorder="1"/>
    <xf numFmtId="49" fontId="7" fillId="0" borderId="0" xfId="3339" applyNumberFormat="1"/>
    <xf numFmtId="0" fontId="101" fillId="0" borderId="41" xfId="0" applyFont="1" applyBorder="1"/>
    <xf numFmtId="49" fontId="138" fillId="0" borderId="0" xfId="0" applyNumberFormat="1" applyFont="1" applyAlignment="1">
      <alignment horizontal="left"/>
    </xf>
    <xf numFmtId="49" fontId="138" fillId="0" borderId="0" xfId="0" applyNumberFormat="1" applyFont="1"/>
    <xf numFmtId="0" fontId="134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5" fillId="0" borderId="0" xfId="0" applyFont="1" applyAlignment="1">
      <alignment horizontal="center" vertical="center"/>
    </xf>
    <xf numFmtId="0" fontId="7" fillId="0" borderId="0" xfId="3339"/>
    <xf numFmtId="0" fontId="7" fillId="0" borderId="0" xfId="3339" applyProtection="1">
      <protection locked="0"/>
    </xf>
    <xf numFmtId="0" fontId="7" fillId="0" borderId="0" xfId="3339" quotePrefix="1"/>
    <xf numFmtId="0" fontId="139" fillId="0" borderId="42" xfId="3339" applyFont="1" applyBorder="1"/>
    <xf numFmtId="0" fontId="135" fillId="0" borderId="0" xfId="0" applyFont="1"/>
    <xf numFmtId="0" fontId="7" fillId="0" borderId="43" xfId="3339" applyBorder="1"/>
    <xf numFmtId="0" fontId="7" fillId="0" borderId="44" xfId="3339" applyBorder="1"/>
    <xf numFmtId="0" fontId="7" fillId="0" borderId="45" xfId="3339" applyBorder="1"/>
    <xf numFmtId="0" fontId="7" fillId="0" borderId="46" xfId="3339" applyBorder="1"/>
    <xf numFmtId="0" fontId="7" fillId="0" borderId="47" xfId="3339" applyBorder="1"/>
    <xf numFmtId="0" fontId="7" fillId="0" borderId="48" xfId="3339" applyBorder="1"/>
    <xf numFmtId="0" fontId="7" fillId="0" borderId="0" xfId="3339" applyAlignment="1">
      <alignment horizontal="center"/>
    </xf>
    <xf numFmtId="0" fontId="140" fillId="0" borderId="0" xfId="3498" applyFont="1" applyAlignment="1">
      <alignment horizontal="center" vertical="center"/>
    </xf>
    <xf numFmtId="0" fontId="141" fillId="0" borderId="0" xfId="3339" applyFont="1"/>
    <xf numFmtId="0" fontId="142" fillId="0" borderId="0" xfId="0" applyFont="1"/>
    <xf numFmtId="0" fontId="142" fillId="0" borderId="23" xfId="0" applyFont="1" applyBorder="1" applyAlignment="1">
      <alignment horizontal="center"/>
    </xf>
    <xf numFmtId="0" fontId="142" fillId="0" borderId="50" xfId="0" applyFont="1" applyBorder="1" applyAlignment="1">
      <alignment horizontal="center"/>
    </xf>
    <xf numFmtId="0" fontId="142" fillId="0" borderId="23" xfId="0" applyFont="1" applyBorder="1"/>
    <xf numFmtId="0" fontId="3" fillId="0" borderId="23" xfId="3499" applyBorder="1"/>
    <xf numFmtId="0" fontId="102" fillId="74" borderId="32" xfId="0" applyFont="1" applyFill="1" applyBorder="1"/>
    <xf numFmtId="0" fontId="0" fillId="0" borderId="26" xfId="0" applyBorder="1"/>
    <xf numFmtId="0" fontId="102" fillId="75" borderId="32" xfId="0" applyFont="1" applyFill="1" applyBorder="1"/>
    <xf numFmtId="0" fontId="2" fillId="76" borderId="32" xfId="0" applyFont="1" applyFill="1" applyBorder="1"/>
    <xf numFmtId="0" fontId="2" fillId="0" borderId="24" xfId="0" applyFont="1" applyBorder="1"/>
    <xf numFmtId="0" fontId="0" fillId="78" borderId="24" xfId="0" applyFill="1" applyBorder="1"/>
    <xf numFmtId="0" fontId="2" fillId="72" borderId="30" xfId="0" applyFont="1" applyFill="1" applyBorder="1"/>
    <xf numFmtId="0" fontId="0" fillId="80" borderId="24" xfId="0" applyFill="1" applyBorder="1"/>
    <xf numFmtId="0" fontId="2" fillId="73" borderId="30" xfId="0" applyFont="1" applyFill="1" applyBorder="1"/>
    <xf numFmtId="0" fontId="0" fillId="80" borderId="28" xfId="0" applyFill="1" applyBorder="1"/>
    <xf numFmtId="0" fontId="0" fillId="80" borderId="39" xfId="0" applyFill="1" applyBorder="1"/>
    <xf numFmtId="0" fontId="0" fillId="0" borderId="39" xfId="0" applyBorder="1"/>
    <xf numFmtId="0" fontId="0" fillId="80" borderId="26" xfId="0" applyFill="1" applyBorder="1"/>
    <xf numFmtId="0" fontId="0" fillId="80" borderId="49" xfId="0" applyFill="1" applyBorder="1"/>
    <xf numFmtId="0" fontId="134" fillId="79" borderId="30" xfId="0" applyFont="1" applyFill="1" applyBorder="1"/>
    <xf numFmtId="0" fontId="0" fillId="81" borderId="24" xfId="0" applyFill="1" applyBorder="1"/>
    <xf numFmtId="0" fontId="0" fillId="81" borderId="26" xfId="0" applyFill="1" applyBorder="1"/>
    <xf numFmtId="0" fontId="0" fillId="81" borderId="32" xfId="0" applyFill="1" applyBorder="1"/>
    <xf numFmtId="0" fontId="0" fillId="0" borderId="0" xfId="0" applyAlignment="1">
      <alignment horizontal="left"/>
    </xf>
    <xf numFmtId="0" fontId="139" fillId="0" borderId="0" xfId="3339" applyFont="1"/>
  </cellXfs>
  <cellStyles count="3500">
    <cellStyle name="20 % - Akzent1" xfId="1" xr:uid="{224EBBA8-5E80-43E7-8682-29AC755774D0}"/>
    <cellStyle name="20 % - Akzent1 2" xfId="2254" xr:uid="{CF945691-738F-4A3E-AB30-C3A275F8A9F7}"/>
    <cellStyle name="20 % - Akzent1_IMPORT" xfId="3341" xr:uid="{E7FB5F6E-0B0F-4706-8538-17F6DF811EBE}"/>
    <cellStyle name="20 % - Akzent2" xfId="2" xr:uid="{B771419E-6939-4EAA-8C4D-A86560DB551F}"/>
    <cellStyle name="20 % - Akzent2 2" xfId="2255" xr:uid="{6620C893-B133-4C67-98D9-413E5BCA79A0}"/>
    <cellStyle name="20 % - Akzent2_IMPORT" xfId="3342" xr:uid="{617F595B-AAAC-4376-98AA-BD0302C30150}"/>
    <cellStyle name="20 % - Akzent3" xfId="3" xr:uid="{3F6CC7B1-7286-46DF-8A9C-06C55CEB8610}"/>
    <cellStyle name="20 % - Akzent3 2" xfId="2256" xr:uid="{9C3E4831-6019-425D-A1C9-66F0D64BB96D}"/>
    <cellStyle name="20 % - Akzent3_IMPORT" xfId="3343" xr:uid="{16E2AD2F-BAD4-447E-B798-973F3DF6160C}"/>
    <cellStyle name="20 % - Akzent4" xfId="4" xr:uid="{176B9B25-2C9D-4F43-9DAE-03CC02ED619C}"/>
    <cellStyle name="20 % - Akzent4 2" xfId="2257" xr:uid="{B65C2BE5-75D2-4B67-B07C-1897838F2EB3}"/>
    <cellStyle name="20 % - Akzent4_IMPORT" xfId="3344" xr:uid="{FC88E71A-4DE3-441D-850D-B3F17FC54341}"/>
    <cellStyle name="20 % - Akzent5" xfId="5" xr:uid="{E33B8BB4-4E08-40BC-82DD-D3704B91D34E}"/>
    <cellStyle name="20 % - Akzent5 2" xfId="2258" xr:uid="{755E3758-7D28-426B-93C2-F91F8B6A6B50}"/>
    <cellStyle name="20 % - Akzent5_IMPORT" xfId="3345" xr:uid="{81F1106A-E981-497E-8749-7624032C7093}"/>
    <cellStyle name="20 % - Akzent6" xfId="6" xr:uid="{53ADFAE2-BE91-4159-89BA-5AD48786216F}"/>
    <cellStyle name="20 % - Akzent6 2" xfId="2259" xr:uid="{80143346-FEB3-4C9B-9A1E-3EAE784011DF}"/>
    <cellStyle name="20 % - Akzent6_IMPORT" xfId="3346" xr:uid="{9FD9B96A-79C3-445A-AA77-E0A9C9CDC46C}"/>
    <cellStyle name="20% - Accent1" xfId="7" xr:uid="{35D99873-823C-4FDD-8B77-0D6005FC94B1}"/>
    <cellStyle name="20% - Accent1 2" xfId="8" xr:uid="{A95B02EC-05E0-49D2-A018-6142C658FDF3}"/>
    <cellStyle name="20% - Accent1 2 2" xfId="2338" xr:uid="{D58D5C1A-0B6F-484C-A6AC-F56FAFB1C321}"/>
    <cellStyle name="20% - Accent1 3" xfId="2337" xr:uid="{9C822314-6BE5-49D0-A7B2-55694C40D387}"/>
    <cellStyle name="20% - Accent1_def" xfId="9" xr:uid="{70A23A46-B919-43A5-B6C1-E7E3C5119A75}"/>
    <cellStyle name="20% - Accent2" xfId="10" xr:uid="{B56470E5-8119-42BB-9F4B-B4DD3E96F7B9}"/>
    <cellStyle name="20% - Accent2 2" xfId="11" xr:uid="{345860BB-A295-4EE0-851D-C08F52B14DD4}"/>
    <cellStyle name="20% - Accent2 2 2" xfId="2340" xr:uid="{D4AB0349-F4B0-47BE-AD83-1DB148791F18}"/>
    <cellStyle name="20% - Accent2 3" xfId="2339" xr:uid="{AE8D6D06-C61A-4F91-AC03-5BB84FA861E7}"/>
    <cellStyle name="20% - Accent2_def" xfId="12" xr:uid="{45D0C4B1-65E8-4539-997C-03AD1A4A41C6}"/>
    <cellStyle name="20% - Accent3" xfId="13" xr:uid="{24940CA1-9D08-463F-A139-E202FF6710E1}"/>
    <cellStyle name="20% - Accent3 2" xfId="14" xr:uid="{84FF9AC6-735D-4036-B82F-FC71A38261B3}"/>
    <cellStyle name="20% - Accent3 2 2" xfId="2342" xr:uid="{26605D00-2EDF-48E6-B0AC-F995C1DA20F1}"/>
    <cellStyle name="20% - Accent3 3" xfId="2341" xr:uid="{0C50E1FA-856F-4790-BF18-D857DABE05AE}"/>
    <cellStyle name="20% - Accent3_def" xfId="15" xr:uid="{162DB094-39A6-4018-B44F-5B82430CD5FB}"/>
    <cellStyle name="20% - Accent4" xfId="16" xr:uid="{86A88ED0-5EC2-4365-AE93-AC871E40960D}"/>
    <cellStyle name="20% - Accent4 2" xfId="17" xr:uid="{6FD92C96-0054-408B-B8ED-09C0CC703482}"/>
    <cellStyle name="20% - Accent4 2 2" xfId="2344" xr:uid="{33FA0924-7A51-43A9-A912-0D003F22990B}"/>
    <cellStyle name="20% - Accent4 3" xfId="2343" xr:uid="{BC24AE0D-A374-4BB5-AEFD-3B7A7BEEAAE1}"/>
    <cellStyle name="20% - Accent4_def" xfId="18" xr:uid="{B7E06D1F-A926-41E0-AAC6-85E9E31C266C}"/>
    <cellStyle name="20% - Accent5" xfId="19" xr:uid="{5D6F0BE4-0E76-419D-BAF5-4FDCAECB213C}"/>
    <cellStyle name="20% - Accent5 2" xfId="20" xr:uid="{1C4AB5C5-7A1E-4C39-AF4E-8E01FD15F5DB}"/>
    <cellStyle name="20% - Accent5 2 2" xfId="2346" xr:uid="{751B3C55-5E95-448C-AAE0-403CEFFC14EE}"/>
    <cellStyle name="20% - Accent5 3" xfId="2345" xr:uid="{6176FE9F-1EC1-4F72-AE79-7F0F44F0C439}"/>
    <cellStyle name="20% - Accent5_def" xfId="21" xr:uid="{17FD15A6-2C43-4FAC-9EEC-B3C0018B4C9A}"/>
    <cellStyle name="20% - Accent6" xfId="22" xr:uid="{B7A6C865-8D5E-44A1-8768-2E99FB76C99B}"/>
    <cellStyle name="20% - Accent6 2" xfId="23" xr:uid="{3F8BC6CC-43DE-4533-87D7-CBE7787C481E}"/>
    <cellStyle name="20% - Accent6 2 2" xfId="2348" xr:uid="{63C76DC6-72B6-47BF-AAA0-B6D5168A720E}"/>
    <cellStyle name="20% - Accent6 3" xfId="2347" xr:uid="{5D94D643-D52B-4ED4-8681-C152FDC80E9C}"/>
    <cellStyle name="20% - Accent6_def" xfId="24" xr:uid="{C3785123-88C6-411E-AFBD-20F1FD4B124A}"/>
    <cellStyle name="20% - akcent 1" xfId="25" xr:uid="{95C431E6-F72A-4CD4-9D8B-3473B5672D52}"/>
    <cellStyle name="20% — akcent 1" xfId="26" xr:uid="{4BBE5EE9-DF05-4D86-B049-88A456004D58}"/>
    <cellStyle name="20% - akcent 1 10" xfId="27" xr:uid="{B7C22584-4442-46C8-B2DD-CA68F925E22B}"/>
    <cellStyle name="20% - akcent 1 10 2" xfId="2795" xr:uid="{1D62CFCF-9135-49BA-AA85-A7E983E69391}"/>
    <cellStyle name="20% - akcent 1 11" xfId="28" xr:uid="{B0743A53-2D30-4FC9-A599-C402B4C43E0D}"/>
    <cellStyle name="20% - akcent 1 11 2" xfId="2995" xr:uid="{0841F496-E7BF-46B8-8B6F-19789A6AE597}"/>
    <cellStyle name="20% - akcent 1 12" xfId="29" xr:uid="{B1C6D73F-5725-4425-95E9-4476899AEE8C}"/>
    <cellStyle name="20% - akcent 1 12 2" xfId="2925" xr:uid="{62748F31-8352-4ED6-9119-5D2FB61CD58F}"/>
    <cellStyle name="20% - akcent 1 13" xfId="30" xr:uid="{DD235EE0-5995-47A0-BAC9-07C8A93F4BC7}"/>
    <cellStyle name="20% - akcent 1 13 2" xfId="3106" xr:uid="{381FD2E4-82D2-4AAE-BB70-BC5092087D68}"/>
    <cellStyle name="20% - akcent 1 14" xfId="31" xr:uid="{0F31BA0A-6151-4EAC-934F-264BD3248AF1}"/>
    <cellStyle name="20% - akcent 1 14 2" xfId="2806" xr:uid="{07EA7AEC-8C32-44CA-8BF2-EA3395586B70}"/>
    <cellStyle name="20% - akcent 1 15" xfId="32" xr:uid="{77D5CA88-488C-40D7-946A-B616992C38FB}"/>
    <cellStyle name="20% - akcent 1 15 2" xfId="2719" xr:uid="{75DB9417-0EAD-4729-A200-3C2C99A84FB4}"/>
    <cellStyle name="20% - akcent 1 16" xfId="33" xr:uid="{3CAB38F4-3861-4043-BF62-50121016777F}"/>
    <cellStyle name="20% - akcent 1 16 2" xfId="2884" xr:uid="{FF1E7C20-0801-42FC-8C24-98F422F1DA28}"/>
    <cellStyle name="20% - akcent 1 17" xfId="34" xr:uid="{8540CF0A-3414-4C8F-AADB-0B6E04F53CF6}"/>
    <cellStyle name="20% - akcent 1 17 2" xfId="2852" xr:uid="{7CE88D21-E6BF-4FBB-918C-8AE46EA7B118}"/>
    <cellStyle name="20% - akcent 1 18" xfId="35" xr:uid="{5693C806-1988-4A33-9580-889C77220B9E}"/>
    <cellStyle name="20% - akcent 1 18 2" xfId="2939" xr:uid="{B0F9907F-AB42-4752-911E-7E4DD15573FE}"/>
    <cellStyle name="20% - akcent 1 19" xfId="36" xr:uid="{EB810B62-8035-4FEA-B876-6183B2400CC5}"/>
    <cellStyle name="20% - akcent 1 19 2" xfId="2845" xr:uid="{4C7B310E-0CB6-4B51-9444-EFDD47F92BC9}"/>
    <cellStyle name="20% - akcent 1 2" xfId="37" xr:uid="{5036D939-4616-41FD-B227-F35D5FC449DC}"/>
    <cellStyle name="20% — akcent 1 2" xfId="38" xr:uid="{BB4516E1-D2C0-4774-920A-57EEB1FDFF35}"/>
    <cellStyle name="20% - akcent 1 2 2" xfId="39" xr:uid="{30BD4D31-C76A-4FEA-ACCA-36127ADF7D70}"/>
    <cellStyle name="20% — akcent 1 2 2" xfId="2349" xr:uid="{D0171026-07B9-442E-A9CA-39D885216176}"/>
    <cellStyle name="20% - akcent 1 2 2 2" xfId="2467" xr:uid="{4A1A5810-7A51-49D7-9E8C-38A120E78C2E}"/>
    <cellStyle name="20% - akcent 1 2 3" xfId="40" xr:uid="{BDF52333-8208-486D-A27B-ABDAF35A9E94}"/>
    <cellStyle name="20% - akcent 1 2 3 2" xfId="2438" xr:uid="{AAC1F9AF-62F3-4167-BCC7-B68286CA739A}"/>
    <cellStyle name="20% - akcent 1 2 4" xfId="2261" xr:uid="{3B97E773-435C-4E6E-9DD0-38B51B9C0F9A}"/>
    <cellStyle name="20% - akcent 1 2_IMPORT" xfId="41" xr:uid="{3E23A9CF-B870-4DA4-B347-F0C7345C9210}"/>
    <cellStyle name="20% — akcent 1 2_IMPORT" xfId="42" xr:uid="{FFBBF9FC-AD7B-45DD-8E8F-C06E86AAC068}"/>
    <cellStyle name="20% - akcent 1 20" xfId="43" xr:uid="{EBA8F37C-CAFF-46A4-9C06-709D57BD0DC2}"/>
    <cellStyle name="20% - akcent 1 20 2" xfId="2943" xr:uid="{26259618-EACA-4F84-AD05-D68EB23560B9}"/>
    <cellStyle name="20% - akcent 1 21" xfId="44" xr:uid="{40A52516-4D96-4AEF-ABC0-47D8068F95AB}"/>
    <cellStyle name="20% - akcent 1 21 2" xfId="2841" xr:uid="{E8E6163E-198E-4489-B12C-36822B7C0F6E}"/>
    <cellStyle name="20% - akcent 1 22" xfId="45" xr:uid="{038E47A8-8764-4B85-B60D-0CEA52244060}"/>
    <cellStyle name="20% - akcent 1 22 2" xfId="2711" xr:uid="{1290913A-0313-4A38-B90F-C1FE8426DA13}"/>
    <cellStyle name="20% - akcent 1 23" xfId="46" xr:uid="{2DC4F9D7-E63D-4C26-B566-3E0B6D1426E2}"/>
    <cellStyle name="20% - akcent 1 23 2" xfId="2756" xr:uid="{242A87B4-1653-4910-9EC7-3113EF66A02E}"/>
    <cellStyle name="20% - akcent 1 24" xfId="47" xr:uid="{04E22054-8051-472C-B11C-39CA6900E98E}"/>
    <cellStyle name="20% - akcent 1 24 2" xfId="2737" xr:uid="{BBE67E7F-A27C-46F3-978F-47525C6083BD}"/>
    <cellStyle name="20% - akcent 1 25" xfId="48" xr:uid="{5763C4EF-49E7-4BF7-A09F-72F1027607F9}"/>
    <cellStyle name="20% - akcent 1 25 2" xfId="2744" xr:uid="{1610CB19-3283-43B1-ABBD-D92406AA6D5D}"/>
    <cellStyle name="20% - akcent 1 26" xfId="49" xr:uid="{61A852B4-B3F3-401C-B877-D400E444A33E}"/>
    <cellStyle name="20% - akcent 1 26 2" xfId="2879" xr:uid="{89C4DE39-FF60-4DAB-BFDA-2A34360BD9CB}"/>
    <cellStyle name="20% - akcent 1 27" xfId="50" xr:uid="{6A822C6E-FD46-4EAB-9626-F67EAF2C1AC8}"/>
    <cellStyle name="20% - akcent 1 27 2" xfId="3012" xr:uid="{870220FC-E030-45EA-871D-B1563F4A265D}"/>
    <cellStyle name="20% - akcent 1 28" xfId="51" xr:uid="{319C5D52-B1E3-4A23-A375-B8F8E50B9EB9}"/>
    <cellStyle name="20% - akcent 1 28 2" xfId="2827" xr:uid="{650EFD06-324F-4A30-91B2-32AE5F16ABE6}"/>
    <cellStyle name="20% - akcent 1 29" xfId="52" xr:uid="{7D8962EF-551A-44F5-8731-FD434C7A9128}"/>
    <cellStyle name="20% - akcent 1 29 2" xfId="3066" xr:uid="{595FF961-FBDB-4C39-BD6E-CEF29B2D7612}"/>
    <cellStyle name="20% - akcent 1 3" xfId="53" xr:uid="{6E05C9E0-7BBE-43F8-91A1-BD39B3745BC8}"/>
    <cellStyle name="20% — akcent 1 3" xfId="54" xr:uid="{380E3017-C149-4203-987C-1DB95695BC4E}"/>
    <cellStyle name="20% — akcent 1 3 2" xfId="2421" xr:uid="{F056EBB2-2519-47FA-8324-9E3B67518241}"/>
    <cellStyle name="20% - akcent 1 30" xfId="55" xr:uid="{015A144A-B569-4971-AFDC-DB5EF009064F}"/>
    <cellStyle name="20% - akcent 1 30 2" xfId="2919" xr:uid="{1D963D39-4395-4C2D-984D-640F8F5CCF13}"/>
    <cellStyle name="20% - akcent 1 31" xfId="56" xr:uid="{909804A6-582C-4A65-8992-2844BC07F7CB}"/>
    <cellStyle name="20% - akcent 1 31 2" xfId="2848" xr:uid="{4ED99D06-BBC4-4EA6-8D55-3911DA95E73D}"/>
    <cellStyle name="20% - akcent 1 32" xfId="57" xr:uid="{0E150C48-4608-4ABF-9010-7AB2FA1EFF8C}"/>
    <cellStyle name="20% - akcent 1 32 2" xfId="2942" xr:uid="{FFA74951-C40D-4DAA-BBF8-A273A1A8DA3A}"/>
    <cellStyle name="20% - akcent 1 33" xfId="58" xr:uid="{34EB2795-7F7E-4EA7-A99E-9F9C602B8D8B}"/>
    <cellStyle name="20% - akcent 1 33 2" xfId="2842" xr:uid="{B9AB93EA-77B4-48D0-B224-3B748D64B426}"/>
    <cellStyle name="20% - akcent 1 34" xfId="59" xr:uid="{AE069542-A6E7-475A-83DC-0B300BAB0914}"/>
    <cellStyle name="20% - akcent 1 34 2" xfId="2945" xr:uid="{EE91CF92-0CE9-4FC1-A025-161CA530A736}"/>
    <cellStyle name="20% - akcent 1 35" xfId="60" xr:uid="{1AF80DD2-EF9E-493A-A8DE-56EDFDC5AADE}"/>
    <cellStyle name="20% - akcent 1 35 2" xfId="2664" xr:uid="{981937AE-9DB7-4702-9A90-B48F2D986FFE}"/>
    <cellStyle name="20% - akcent 1 36" xfId="61" xr:uid="{0CCCA6DC-D785-42FB-A71E-F0ECE5C32FD1}"/>
    <cellStyle name="20% - akcent 1 36 2" xfId="3029" xr:uid="{49BF5709-6D1B-47CF-9A25-EF15BD74C16C}"/>
    <cellStyle name="20% - akcent 1 37" xfId="62" xr:uid="{BD46B09E-70FD-4C2B-A695-CCAF2BC78C91}"/>
    <cellStyle name="20% - akcent 1 37 2" xfId="3050" xr:uid="{3880EB65-F13A-48EC-BF6F-36B482481C49}"/>
    <cellStyle name="20% - akcent 1 38" xfId="63" xr:uid="{3796DA93-8EF2-44E1-8797-21A1433CD009}"/>
    <cellStyle name="20% - akcent 1 38 2" xfId="2610" xr:uid="{2C58D9D1-017F-41DA-B337-F356A836CE13}"/>
    <cellStyle name="20% - akcent 1 39" xfId="64" xr:uid="{1998107E-18F3-4D52-BA29-42C01F704759}"/>
    <cellStyle name="20% - akcent 1 39 2" xfId="3081" xr:uid="{FCC6462E-7B2F-47EE-9977-05430BEB5B15}"/>
    <cellStyle name="20% - akcent 1 4" xfId="65" xr:uid="{537C2158-34C9-45FE-B9EE-F1481EF8C4CC}"/>
    <cellStyle name="20% — akcent 1 4" xfId="66" xr:uid="{9C79EAAA-91DA-4D9A-9367-4932B74C9FD2}"/>
    <cellStyle name="20% — akcent 1 4 2" xfId="67" xr:uid="{2B45D2C9-0907-403E-A09F-9F07EA92C393}"/>
    <cellStyle name="20% — akcent 1 4 3" xfId="2393" xr:uid="{245BD3AD-886A-4CF8-B705-863EAF423BFA}"/>
    <cellStyle name="20% — akcent 1 4_IMPORT" xfId="68" xr:uid="{BECD475A-A8C0-4D05-B7FB-FBAC1106FD2D}"/>
    <cellStyle name="20% - akcent 1 40" xfId="69" xr:uid="{C3830E60-097E-409D-888B-21BE7B9E8EEE}"/>
    <cellStyle name="20% - akcent 1 40 2" xfId="2916" xr:uid="{5C2B617F-D364-4273-9BA6-EBA3AFCFBB1F}"/>
    <cellStyle name="20% - akcent 1 41" xfId="70" xr:uid="{D4610F05-226B-47BD-AAC1-6EE814B645C5}"/>
    <cellStyle name="20% - akcent 1 41 2" xfId="2933" xr:uid="{54970B38-6F5A-47D3-8B61-11F40CA70821}"/>
    <cellStyle name="20% - akcent 1 42" xfId="71" xr:uid="{61B193E4-F74D-4003-AC30-6AFA8783CEFF}"/>
    <cellStyle name="20% - akcent 1 42 2" xfId="2667" xr:uid="{38FA2FD6-3B24-4915-B582-74618F10126C}"/>
    <cellStyle name="20% - akcent 1 43" xfId="72" xr:uid="{6B74F3E5-ED9A-42ED-8582-2469E58A7A22}"/>
    <cellStyle name="20% - akcent 1 43 2" xfId="3076" xr:uid="{6B6B1FD3-114C-4953-B193-09740D8BCD4C}"/>
    <cellStyle name="20% - akcent 1 44" xfId="73" xr:uid="{FED625DE-6A91-4F86-AC1F-B01C55E4D115}"/>
    <cellStyle name="20% - akcent 1 44 2" xfId="3215" xr:uid="{2F61577A-EBF5-4298-A0AC-E1F27EBF94F9}"/>
    <cellStyle name="20% - akcent 1 45" xfId="74" xr:uid="{7FD92EAD-EFD3-4A1D-98BA-0C10E13AB708}"/>
    <cellStyle name="20% - akcent 1 45 2" xfId="3294" xr:uid="{809199EC-D642-49C7-AA69-6F6AE59E46CC}"/>
    <cellStyle name="20% - akcent 1 46" xfId="75" xr:uid="{037C1418-B5F6-4E0A-AEDD-31AA38C1E51B}"/>
    <cellStyle name="20% - akcent 1 46 2" xfId="3241" xr:uid="{B4172485-9973-4A4E-8917-2E9A721BA7DA}"/>
    <cellStyle name="20% - akcent 1 47" xfId="76" xr:uid="{4879C4C0-48F2-4D1A-86DE-CE3E573167BD}"/>
    <cellStyle name="20% - akcent 1 47 2" xfId="3293" xr:uid="{A9A134A6-758C-4477-9086-3042061E2EF5}"/>
    <cellStyle name="20% - akcent 1 48" xfId="77" xr:uid="{2EAC117F-4332-44C4-9F94-665D0738B3FD}"/>
    <cellStyle name="20% - akcent 1 48 2" xfId="3244" xr:uid="{EC6C8F0B-B43F-4BA0-9FA3-8855B8571F10}"/>
    <cellStyle name="20% - akcent 1 49" xfId="78" xr:uid="{BB5D80D3-40CD-4107-A3DA-246525C60013}"/>
    <cellStyle name="20% - akcent 1 49 2" xfId="3315" xr:uid="{910DDD7A-B0CD-403A-BCB9-8BCF29F90641}"/>
    <cellStyle name="20% - akcent 1 5" xfId="79" xr:uid="{A7875C5F-4DC0-4EBF-B0AE-255333A6E9AF}"/>
    <cellStyle name="20% — akcent 1 5" xfId="80" xr:uid="{AD844FBA-BB5B-4686-875F-560EE66CD45C}"/>
    <cellStyle name="20% — akcent 1 5 2" xfId="81" xr:uid="{7BF47DF4-C56B-44F3-A104-3B02134B7D6F}"/>
    <cellStyle name="20% — akcent 1 5 3" xfId="2464" xr:uid="{7E3B0EBB-9C15-490A-8724-1296C9B1888C}"/>
    <cellStyle name="20% — akcent 1 5_IMPORT" xfId="82" xr:uid="{DF2DA39B-1EF5-4127-A105-7773DAAB4474}"/>
    <cellStyle name="20% - akcent 1 50" xfId="83" xr:uid="{F84E9D4A-8DBB-48EB-B89D-34B21961FB41}"/>
    <cellStyle name="20% - akcent 1 51" xfId="84" xr:uid="{A709C7A6-0FBC-4616-95F7-FAF40850FBD7}"/>
    <cellStyle name="20% - akcent 1 52" xfId="2260" xr:uid="{C4203DE7-1C1C-4EF0-9FD6-16AF5A85FA10}"/>
    <cellStyle name="20% - akcent 1 6" xfId="85" xr:uid="{AAC48E3C-0BC1-4703-A0F1-0CA8C5A60987}"/>
    <cellStyle name="20% — akcent 1 6" xfId="86" xr:uid="{FAAE6ABE-1BA4-42E4-9460-54AD06CE43C7}"/>
    <cellStyle name="20% — akcent 1 6 2" xfId="87" xr:uid="{E8CE0079-8249-40FD-B43D-0A436CDF3BEA}"/>
    <cellStyle name="20% — akcent 1 6 3" xfId="2437" xr:uid="{2075B5B3-BEC4-4ED7-9913-E0647E6D625D}"/>
    <cellStyle name="20% — akcent 1 6_IMPORT" xfId="88" xr:uid="{BD591327-3D08-465F-B9D7-9C92C668623A}"/>
    <cellStyle name="20% - akcent 1 7" xfId="89" xr:uid="{E8E5D8D5-FFA4-418D-B217-B6DE53987E64}"/>
    <cellStyle name="20% — akcent 1 7" xfId="90" xr:uid="{248980BC-3C7A-444E-8B84-B1FE76453CA3}"/>
    <cellStyle name="20% — akcent 1 7 2" xfId="3325" xr:uid="{B942EF71-03F5-4209-8426-2D0626A5D06F}"/>
    <cellStyle name="20% - akcent 1 8" xfId="91" xr:uid="{45F56421-B289-43EC-97B3-48F251B2A152}"/>
    <cellStyle name="20% - akcent 1 8 2" xfId="2515" xr:uid="{EF9C4E9C-DEA3-41EE-AA5B-3860DA9675E2}"/>
    <cellStyle name="20% - akcent 1 9" xfId="92" xr:uid="{009A647F-E5BF-4888-8543-3CAF66E4B5F5}"/>
    <cellStyle name="20% - akcent 1 9 2" xfId="2588" xr:uid="{749C2CC5-F4E5-4289-A533-C34D71AE31F1}"/>
    <cellStyle name="20% — akcent 1_03ceny14" xfId="93" xr:uid="{C58DEAAB-7E47-4A4D-90F5-880925D3C7D8}"/>
    <cellStyle name="20% - akcent 1_03ceny36" xfId="94" xr:uid="{77466092-F3D9-4546-A6BE-63311A512FC2}"/>
    <cellStyle name="20% — akcent 1_03ceny39" xfId="95" xr:uid="{86D2FD5A-85F7-4D21-AE10-83CCCF8D92E7}"/>
    <cellStyle name="20% - akcent 1_Arkusz1" xfId="96" xr:uid="{B67FAB7F-7C11-4CAD-9962-102A082BE0D6}"/>
    <cellStyle name="20% — akcent 1_Arkusz1" xfId="3347" xr:uid="{D077AE71-6AE6-4A52-8A0C-99B4A88CFE65}"/>
    <cellStyle name="20% - akcent 1_dodatki" xfId="97" xr:uid="{B33C741A-E819-40F0-B1E6-A6821FF54A55}"/>
    <cellStyle name="20% — akcent 1_dodatki" xfId="98" xr:uid="{182E06FB-F061-41BF-9BD7-BB89EB4071BC}"/>
    <cellStyle name="20% - akcent 1_grupy" xfId="99" xr:uid="{1F49B284-B30D-4DBF-A11D-F984F45318E6}"/>
    <cellStyle name="20% — akcent 1_grupy" xfId="100" xr:uid="{1C8A0380-5C0F-4B11-9495-DEA29B772CF2}"/>
    <cellStyle name="20% - akcent 1_NFoto4" xfId="101" xr:uid="{F95A40F0-A1FF-44B4-9FAB-64F517372C0D}"/>
    <cellStyle name="20% — akcent 1_NFoto4" xfId="102" xr:uid="{0E5D7E22-E8F9-4ABB-90EB-011A792E3AB9}"/>
    <cellStyle name="20% - akcent 1_NVersp50" xfId="103" xr:uid="{07291CBA-82DE-4CE0-AF21-BFC9A4A71CB8}"/>
    <cellStyle name="20% — akcent 1_NVersp70" xfId="104" xr:uid="{B5D2BCDD-2A07-4470-9A4C-241FEE9CB9A4}"/>
    <cellStyle name="20% - akcent 1_slownik" xfId="105" xr:uid="{3387541D-8607-4411-9349-DC90CDBC9B94}"/>
    <cellStyle name="20% — akcent 1_slownik" xfId="106" xr:uid="{8F7A41FC-E2AD-4CFE-9336-BD4039A9022F}"/>
    <cellStyle name="20% - akcent 1_slownik_1" xfId="107" xr:uid="{3C44AC39-59D4-430F-874B-6F0CB909DDA5}"/>
    <cellStyle name="20% — akcent 1_slownik_1" xfId="108" xr:uid="{AF26802E-35B1-4963-9A14-1BBCAB2D123D}"/>
    <cellStyle name="20% - akcent 1_slownik_1_slownik" xfId="3348" xr:uid="{76C80050-EA90-469C-9BD6-61E0DBB2B4EF}"/>
    <cellStyle name="20% — akcent 1_slownik_1_slownik" xfId="3349" xr:uid="{D3753F19-D4D2-4EEE-89A2-FAE9DF51E815}"/>
    <cellStyle name="20% - akcent 1_slownik_2" xfId="3350" xr:uid="{7862A67C-9A65-484F-917D-DBDFBE034F1D}"/>
    <cellStyle name="20% — akcent 1_slownik_2" xfId="3351" xr:uid="{C4ECC2EC-33FB-432F-B3FC-F3033BCBBF09}"/>
    <cellStyle name="20% - akcent 1_slownik_slownik" xfId="3352" xr:uid="{8F5ABCAE-59E2-4459-AF19-D10301F689F9}"/>
    <cellStyle name="20% — akcent 1_slownik_slownik" xfId="3353" xr:uid="{C71C1B04-9A09-46F0-90C7-17F92B1C0153}"/>
    <cellStyle name="20% - akcent 2" xfId="109" xr:uid="{B83F2839-9061-4B50-A798-9F7E3EC499EB}"/>
    <cellStyle name="20% — akcent 2" xfId="110" xr:uid="{206FCDA0-8F70-4DF5-BFDD-6B0D7DCF9469}"/>
    <cellStyle name="20% - akcent 2 10" xfId="111" xr:uid="{84DA05B3-6A7A-403C-8234-CF66FBD22E72}"/>
    <cellStyle name="20% - akcent 2 10 2" xfId="2904" xr:uid="{D31BB857-7391-4165-AEF3-366D9862B9F6}"/>
    <cellStyle name="20% - akcent 2 11" xfId="112" xr:uid="{F71E430F-8A3E-4CD9-880C-6A963CB7023D}"/>
    <cellStyle name="20% - akcent 2 11 2" xfId="2936" xr:uid="{07399C95-C575-43D3-9080-5409BC012AAF}"/>
    <cellStyle name="20% - akcent 2 12" xfId="113" xr:uid="{630685B5-4155-4C0E-ADA9-B7757A8C8A36}"/>
    <cellStyle name="20% - akcent 2 12 2" xfId="3097" xr:uid="{7EA290F2-2924-4971-9700-30124D3B55AF}"/>
    <cellStyle name="20% - akcent 2 13" xfId="114" xr:uid="{3065ECE4-CEC8-4229-A870-73BA6040F395}"/>
    <cellStyle name="20% - akcent 2 13 2" xfId="2990" xr:uid="{8B6C3C14-7CED-436F-BAC2-3B5347F7FB1E}"/>
    <cellStyle name="20% - akcent 2 14" xfId="115" xr:uid="{68CE3FE9-D833-4A24-B3D9-5D8171BD6E75}"/>
    <cellStyle name="20% - akcent 2 14 2" xfId="3114" xr:uid="{263364B6-ECD3-48BE-ADE1-16A9604C321F}"/>
    <cellStyle name="20% - akcent 2 15" xfId="116" xr:uid="{880A640E-0B8B-4F2F-AE72-D0460F533A45}"/>
    <cellStyle name="20% - akcent 2 15 2" xfId="3120" xr:uid="{B8A9CC99-C806-4C4C-AACC-7540E8A3009C}"/>
    <cellStyle name="20% - akcent 2 16" xfId="117" xr:uid="{DD79CEAF-3456-4000-8038-21B27DFBAFDE}"/>
    <cellStyle name="20% - akcent 2 16 2" xfId="3126" xr:uid="{9A15FEB2-CC6B-4077-9404-6AC85FCECDAA}"/>
    <cellStyle name="20% - akcent 2 17" xfId="118" xr:uid="{85B9B3F0-2765-42F6-916C-203EFD6CA262}"/>
    <cellStyle name="20% - akcent 2 17 2" xfId="3131" xr:uid="{3009D9E1-32CD-4D73-B920-E3B7F77A0C0A}"/>
    <cellStyle name="20% - akcent 2 18" xfId="119" xr:uid="{EB847795-5BB2-4C6C-A32A-CF1B3B09D615}"/>
    <cellStyle name="20% - akcent 2 18 2" xfId="3136" xr:uid="{A0266CED-9C1C-421C-9CC0-E4C0441DC95A}"/>
    <cellStyle name="20% - akcent 2 19" xfId="120" xr:uid="{25DB1CA8-4529-4C11-B2F7-08E53888F917}"/>
    <cellStyle name="20% - akcent 2 19 2" xfId="3141" xr:uid="{ACE60346-A4AE-42FF-9BC7-9F9CD9954F91}"/>
    <cellStyle name="20% - akcent 2 2" xfId="121" xr:uid="{A1340868-1CF3-45FC-8092-1966587C9B49}"/>
    <cellStyle name="20% — akcent 2 2" xfId="122" xr:uid="{5B94F078-B507-44A7-88FC-486922A97174}"/>
    <cellStyle name="20% - akcent 2 2 2" xfId="123" xr:uid="{4AA4B87A-EE30-4F8D-ACD4-7C20857436F5}"/>
    <cellStyle name="20% — akcent 2 2 2" xfId="2350" xr:uid="{7EB44E3C-710D-492C-8838-A487A5233FDA}"/>
    <cellStyle name="20% - akcent 2 2 2 2" xfId="2468" xr:uid="{AE82020B-4B27-4B0F-9E43-B5B8C47627B9}"/>
    <cellStyle name="20% - akcent 2 2 3" xfId="124" xr:uid="{3041FC22-BC7B-48D1-A0E6-559A8D60FE28}"/>
    <cellStyle name="20% - akcent 2 2 3 2" xfId="2440" xr:uid="{81AB9524-22E7-4102-BB8E-E7B2527A0310}"/>
    <cellStyle name="20% - akcent 2 2 4" xfId="2263" xr:uid="{20246EFB-5373-43DD-B71D-7E310B9A46AB}"/>
    <cellStyle name="20% - akcent 2 2_IMPORT" xfId="125" xr:uid="{E3351694-E4DC-4D7C-8075-87C5009F0F20}"/>
    <cellStyle name="20% — akcent 2 2_IMPORT" xfId="126" xr:uid="{5BA1A188-75E3-420A-A432-AC8940BA05EE}"/>
    <cellStyle name="20% - akcent 2 20" xfId="127" xr:uid="{4ECB38D2-11C4-4076-AA79-4EE1ACA06853}"/>
    <cellStyle name="20% - akcent 2 20 2" xfId="3146" xr:uid="{318A70BF-950C-4675-9691-0D32DDDE47B4}"/>
    <cellStyle name="20% - akcent 2 21" xfId="128" xr:uid="{01C4B6FC-1A23-44C9-BC31-7CBA0A42BD62}"/>
    <cellStyle name="20% - akcent 2 21 2" xfId="3151" xr:uid="{E402CBB5-5228-43DE-B2E8-AD5970388AFB}"/>
    <cellStyle name="20% - akcent 2 22" xfId="129" xr:uid="{26E88D72-DFF5-46C9-957C-259ECF304CC0}"/>
    <cellStyle name="20% - akcent 2 22 2" xfId="3156" xr:uid="{C211BB80-861C-48E6-8FB7-713DCE1778EC}"/>
    <cellStyle name="20% - akcent 2 23" xfId="130" xr:uid="{54BE3A80-D6A7-4D52-821A-AD35AFD83B1E}"/>
    <cellStyle name="20% - akcent 2 23 2" xfId="3161" xr:uid="{A8BB79DE-13C3-4074-8115-3286241FD0A3}"/>
    <cellStyle name="20% - akcent 2 24" xfId="131" xr:uid="{627041AA-D992-4FEE-9425-8C2729E2CD3B}"/>
    <cellStyle name="20% - akcent 2 24 2" xfId="3165" xr:uid="{1A8A9853-E9FA-4BAB-A2B5-52C36325801C}"/>
    <cellStyle name="20% - akcent 2 25" xfId="132" xr:uid="{BBFA66F6-60A3-411E-8972-FFA514125187}"/>
    <cellStyle name="20% - akcent 2 25 2" xfId="3169" xr:uid="{9D4BB405-1162-4CAB-847C-029FABBEFE52}"/>
    <cellStyle name="20% - akcent 2 26" xfId="133" xr:uid="{9B705878-CCD5-450D-AF96-4991CA26419F}"/>
    <cellStyle name="20% - akcent 2 26 2" xfId="3172" xr:uid="{76432DAB-12CA-4AFA-9903-E6713BCC0691}"/>
    <cellStyle name="20% - akcent 2 27" xfId="134" xr:uid="{5F2AE053-BFBE-4B3D-9B31-41A8EECEF95C}"/>
    <cellStyle name="20% - akcent 2 27 2" xfId="3175" xr:uid="{239EC06C-2C11-4982-894F-BDA55327DBB6}"/>
    <cellStyle name="20% - akcent 2 28" xfId="135" xr:uid="{874415F5-BF83-4BE3-A682-A7E80558B1F6}"/>
    <cellStyle name="20% - akcent 2 28 2" xfId="3178" xr:uid="{6B514A76-A960-4569-A877-E4E22870091E}"/>
    <cellStyle name="20% - akcent 2 29" xfId="136" xr:uid="{4B5A746B-B336-4FEC-A363-097C9B48E154}"/>
    <cellStyle name="20% - akcent 2 29 2" xfId="3181" xr:uid="{2D6D3A9E-1EE5-4A3C-AF08-9A4AA840490F}"/>
    <cellStyle name="20% - akcent 2 3" xfId="137" xr:uid="{630AC4EF-00A4-4290-A66A-FDB19D01E222}"/>
    <cellStyle name="20% — akcent 2 3" xfId="138" xr:uid="{CE82DA19-CC54-41C1-9A36-8414DB92AA6E}"/>
    <cellStyle name="20% — akcent 2 3 2" xfId="2422" xr:uid="{BF34D20E-55C0-4B89-B7C2-EF0955C95ACE}"/>
    <cellStyle name="20% - akcent 2 30" xfId="139" xr:uid="{7C718556-2F62-42EE-92D3-BBEC2FE345C2}"/>
    <cellStyle name="20% - akcent 2 30 2" xfId="3184" xr:uid="{ED2F9006-FDA2-4DE7-9185-3922813E311E}"/>
    <cellStyle name="20% - akcent 2 31" xfId="140" xr:uid="{B95F8220-1BC2-48C9-84C2-17A41A7BA150}"/>
    <cellStyle name="20% - akcent 2 31 2" xfId="3187" xr:uid="{73CCBF55-FF9C-4496-8806-12ECF2CA63BA}"/>
    <cellStyle name="20% - akcent 2 32" xfId="141" xr:uid="{1C9BD08C-C19E-446D-B264-CD07F59CDC11}"/>
    <cellStyle name="20% - akcent 2 32 2" xfId="3190" xr:uid="{FB54857C-6FFD-47D6-AC68-937F1E1F6428}"/>
    <cellStyle name="20% - akcent 2 33" xfId="142" xr:uid="{8075B34C-EC20-4AF8-A60C-275D8321649A}"/>
    <cellStyle name="20% - akcent 2 33 2" xfId="3193" xr:uid="{A160EBA8-9DB6-40CD-A1EF-B321B69CDB20}"/>
    <cellStyle name="20% - akcent 2 34" xfId="143" xr:uid="{EC022844-799F-49E4-9024-F01A918A5546}"/>
    <cellStyle name="20% - akcent 2 34 2" xfId="3195" xr:uid="{BA6E8839-A84D-442F-B666-C077EF59A697}"/>
    <cellStyle name="20% - akcent 2 35" xfId="144" xr:uid="{299E0701-16FC-4658-A46B-2AC1893FB286}"/>
    <cellStyle name="20% - akcent 2 35 2" xfId="3197" xr:uid="{4E8C0FF1-18C6-4199-B45B-EAB2FAF8B5C6}"/>
    <cellStyle name="20% - akcent 2 36" xfId="145" xr:uid="{136AA517-9096-4D31-9227-1DA49A11DCD7}"/>
    <cellStyle name="20% - akcent 2 36 2" xfId="3199" xr:uid="{E15A88EA-D606-414F-B4C7-2831A8C09CED}"/>
    <cellStyle name="20% - akcent 2 37" xfId="146" xr:uid="{AB999146-2CF8-45AC-B217-9D3DDF5444DF}"/>
    <cellStyle name="20% - akcent 2 37 2" xfId="3201" xr:uid="{C0E3E15A-4CFC-4E82-A1FF-440673AF84B7}"/>
    <cellStyle name="20% - akcent 2 38" xfId="147" xr:uid="{B5D7CEF0-D61E-4E55-B632-0499C5C272C2}"/>
    <cellStyle name="20% - akcent 2 38 2" xfId="3203" xr:uid="{9D898CFC-BC94-4DE4-BA96-C78E025D7A36}"/>
    <cellStyle name="20% - akcent 2 39" xfId="148" xr:uid="{DCED60BB-F2FA-45FD-9A62-7AB77FF07C23}"/>
    <cellStyle name="20% - akcent 2 39 2" xfId="3205" xr:uid="{1F71E2B5-9CE4-4AB1-B6F3-F700CE4E2CF0}"/>
    <cellStyle name="20% - akcent 2 4" xfId="149" xr:uid="{353F86FA-48D1-4985-A271-B4B2D57686EC}"/>
    <cellStyle name="20% — akcent 2 4" xfId="150" xr:uid="{F6E71274-AF88-4B51-B9EC-916E03440045}"/>
    <cellStyle name="20% — akcent 2 4 2" xfId="151" xr:uid="{78038B14-31E3-44D9-BAC9-983538E1380B}"/>
    <cellStyle name="20% — akcent 2 4 3" xfId="2394" xr:uid="{AFA80176-792B-4EA2-A02B-13C7925A847D}"/>
    <cellStyle name="20% — akcent 2 4_IMPORT" xfId="152" xr:uid="{40547A2B-92EE-460E-8995-04F609A9A457}"/>
    <cellStyle name="20% - akcent 2 40" xfId="153" xr:uid="{99578015-A865-4129-9B86-834E0CAE7955}"/>
    <cellStyle name="20% - akcent 2 40 2" xfId="3207" xr:uid="{3DF16366-79EB-4C30-B42A-E9CC66ECAE31}"/>
    <cellStyle name="20% - akcent 2 41" xfId="154" xr:uid="{2FF22C9D-6F69-4726-A4D0-27EB86BB9C71}"/>
    <cellStyle name="20% - akcent 2 41 2" xfId="3209" xr:uid="{2FB534D4-51A2-4D87-AD9F-3D189620D457}"/>
    <cellStyle name="20% - akcent 2 42" xfId="155" xr:uid="{18A127EE-8E6D-49D2-8AA3-FA89DBF5548D}"/>
    <cellStyle name="20% - akcent 2 42 2" xfId="3210" xr:uid="{881C3F08-4028-49C5-993C-EED8ACEC8357}"/>
    <cellStyle name="20% - akcent 2 43" xfId="156" xr:uid="{F05363B7-5C98-4385-BF27-7C82D818CA00}"/>
    <cellStyle name="20% - akcent 2 43 2" xfId="3211" xr:uid="{5A1B69E7-55BD-4DC9-BFD6-3B9C8B3AF299}"/>
    <cellStyle name="20% - akcent 2 44" xfId="157" xr:uid="{42C4373D-F15E-488B-BE7B-CAAD8160F37D}"/>
    <cellStyle name="20% - akcent 2 44 2" xfId="3216" xr:uid="{895A87A5-800B-4851-987C-5E9C8FC9408B}"/>
    <cellStyle name="20% - akcent 2 45" xfId="158" xr:uid="{99413291-C4A3-4C16-9D37-37A38360A973}"/>
    <cellStyle name="20% - akcent 2 45 2" xfId="3253" xr:uid="{6263A55D-AD3C-412F-B297-1B01B265D7F1}"/>
    <cellStyle name="20% - akcent 2 46" xfId="159" xr:uid="{F51855A5-E5C0-4D95-B1DA-99E6A686EBB6}"/>
    <cellStyle name="20% - akcent 2 46 2" xfId="3286" xr:uid="{03D753B4-870C-4FD6-9C1E-0AE4EDDD1C3D}"/>
    <cellStyle name="20% - akcent 2 47" xfId="160" xr:uid="{CA080A08-C64F-4030-B91A-4CD6C2F0BE2C}"/>
    <cellStyle name="20% - akcent 2 47 2" xfId="3301" xr:uid="{47C73578-DE80-4C7E-B386-06070AD1271C}"/>
    <cellStyle name="20% - akcent 2 48" xfId="161" xr:uid="{8D82627D-6118-49A5-ABD0-078B0BE6A501}"/>
    <cellStyle name="20% - akcent 2 48 2" xfId="3213" xr:uid="{B034C4EA-DBC5-4096-B14D-1792A510A27A}"/>
    <cellStyle name="20% - akcent 2 49" xfId="162" xr:uid="{2B712278-5345-455B-BB46-3F82C28579A8}"/>
    <cellStyle name="20% - akcent 2 49 2" xfId="3236" xr:uid="{35BD3EE2-C4D7-4D59-9209-808525D3152F}"/>
    <cellStyle name="20% - akcent 2 5" xfId="163" xr:uid="{49C41A39-33A4-4C6F-931D-6F829936AA82}"/>
    <cellStyle name="20% — akcent 2 5" xfId="164" xr:uid="{AE3BA69A-870B-4A3E-BF22-E8A87B73F9BE}"/>
    <cellStyle name="20% — akcent 2 5 2" xfId="165" xr:uid="{4FD74546-F195-4A3F-BE02-0FAA38A9A738}"/>
    <cellStyle name="20% — akcent 2 5 3" xfId="2439" xr:uid="{D8F5481B-D6E2-4257-A3E4-DE006BB95EDA}"/>
    <cellStyle name="20% — akcent 2 5_IMPORT" xfId="166" xr:uid="{AF835D00-5E9F-4F9C-97AC-7AF3C89BB7A4}"/>
    <cellStyle name="20% - akcent 2 50" xfId="167" xr:uid="{D5417F18-B82C-4956-9371-C220B1C49146}"/>
    <cellStyle name="20% - akcent 2 51" xfId="168" xr:uid="{7C923666-02B9-4FC0-89A9-D0163239F9F1}"/>
    <cellStyle name="20% - akcent 2 52" xfId="2262" xr:uid="{8AEF448E-2709-49DA-B55B-DF06E7BDBC67}"/>
    <cellStyle name="20% - akcent 2 6" xfId="169" xr:uid="{47C0B6A2-2A52-46CF-83E5-2FB49FF2E9B1}"/>
    <cellStyle name="20% — akcent 2 6" xfId="170" xr:uid="{D0286422-A44E-44CD-905F-1F065B924917}"/>
    <cellStyle name="20% — akcent 2 6 2" xfId="171" xr:uid="{46A3BCAF-3935-45D1-AA87-D595D75E4D5B}"/>
    <cellStyle name="20% — akcent 2 6 3" xfId="3326" xr:uid="{8635AE4A-7F92-4D3A-994A-451152563240}"/>
    <cellStyle name="20% — akcent 2 6_IMPORT" xfId="172" xr:uid="{84AE3C60-C6AD-47D8-8F91-2115ABDAFB9F}"/>
    <cellStyle name="20% - akcent 2 7" xfId="173" xr:uid="{E7989203-8B51-443B-B7BF-847AE3B6ECF5}"/>
    <cellStyle name="20% - akcent 2 8" xfId="174" xr:uid="{C690016D-368F-4BD4-90F1-4148116060ED}"/>
    <cellStyle name="20% - akcent 2 8 2" xfId="2516" xr:uid="{1B70B1F7-4470-44FC-B8F3-71E36E27BC70}"/>
    <cellStyle name="20% - akcent 2 9" xfId="175" xr:uid="{C79D7156-4708-44B9-806C-F434BEA670F1}"/>
    <cellStyle name="20% - akcent 2 9 2" xfId="2593" xr:uid="{9F696155-5B82-4B37-B709-E42624C4194B}"/>
    <cellStyle name="20% — akcent 2_03ceny14" xfId="176" xr:uid="{473046A9-3D43-4DA6-AB85-58373A3614A1}"/>
    <cellStyle name="20% - akcent 2_03ceny36" xfId="177" xr:uid="{A459E8B9-2E97-4BB5-B538-52F87D0B3972}"/>
    <cellStyle name="20% — akcent 2_03ceny39" xfId="178" xr:uid="{BE350459-60FB-4CA4-B0E3-C6B133FDBF7C}"/>
    <cellStyle name="20% - akcent 2_Arkusz1" xfId="179" xr:uid="{6ED872CF-59C1-4126-BD9E-41C1C20CEC98}"/>
    <cellStyle name="20% — akcent 2_Arkusz1" xfId="3354" xr:uid="{9FC7992F-33D6-4973-8405-83AFB8050226}"/>
    <cellStyle name="20% - akcent 2_dodatki" xfId="180" xr:uid="{6F094545-0B43-4114-A953-027127DB37F9}"/>
    <cellStyle name="20% — akcent 2_dodatki" xfId="181" xr:uid="{AFA795CC-49BD-41D2-8BE7-1CCFB9299A89}"/>
    <cellStyle name="20% - akcent 2_grupy" xfId="182" xr:uid="{2D6F4F72-CDD1-41FC-9BCF-2F0365D8FDD2}"/>
    <cellStyle name="20% — akcent 2_grupy" xfId="183" xr:uid="{2AFF258B-1354-4006-8C27-3DB6CD2A03EA}"/>
    <cellStyle name="20% - akcent 2_NFoto4" xfId="184" xr:uid="{FB19AF1B-68FF-4605-B36D-915B88E501E2}"/>
    <cellStyle name="20% — akcent 2_NFoto4" xfId="185" xr:uid="{FFA35562-7FCF-43DD-903D-EBA4F0838C78}"/>
    <cellStyle name="20% - akcent 2_NVersp50" xfId="186" xr:uid="{91AE0BD3-65AF-4DAD-8935-7E074BB92C5F}"/>
    <cellStyle name="20% — akcent 2_NVersp70" xfId="187" xr:uid="{45E71D64-6D11-4491-9B1C-00BBBD85E76D}"/>
    <cellStyle name="20% - akcent 2_slownik" xfId="188" xr:uid="{9731F027-0B37-473B-BC7F-CA4CDA29BE06}"/>
    <cellStyle name="20% — akcent 2_slownik" xfId="189" xr:uid="{7F10A9D9-5516-4378-83F4-F7B2D179E78C}"/>
    <cellStyle name="20% - akcent 2_slownik_1" xfId="190" xr:uid="{B964E1C9-FACE-4D9C-8A68-5D5833C4FA05}"/>
    <cellStyle name="20% — akcent 2_slownik_1" xfId="191" xr:uid="{352E6F02-B348-4FA4-A601-04A653196636}"/>
    <cellStyle name="20% - akcent 2_slownik_1_slownik" xfId="3355" xr:uid="{6984F63C-B7AA-48FF-9912-529263D79777}"/>
    <cellStyle name="20% — akcent 2_slownik_1_slownik" xfId="3356" xr:uid="{6EE60CEC-0353-4D8A-BB92-DFE77C94AC9E}"/>
    <cellStyle name="20% - akcent 2_slownik_2" xfId="3357" xr:uid="{94109EA0-9488-4CBD-A93B-FB0D44108C31}"/>
    <cellStyle name="20% — akcent 2_slownik_2" xfId="3358" xr:uid="{BBBB6B5B-04BF-4D72-BADE-8B8EA79ADDBC}"/>
    <cellStyle name="20% - akcent 2_slownik_slownik" xfId="3359" xr:uid="{09D8E4A7-4BC4-4910-92D0-D2C58FC1B179}"/>
    <cellStyle name="20% - akcent 3" xfId="192" xr:uid="{4B27835D-4C27-4FED-BE9C-F124F660F20C}"/>
    <cellStyle name="20% — akcent 3" xfId="193" xr:uid="{97679333-5320-4DE3-B99B-78AB6C4CF346}"/>
    <cellStyle name="20% - akcent 3 10" xfId="194" xr:uid="{BF1C00F8-477F-475C-9492-6255E571D777}"/>
    <cellStyle name="20% - akcent 3 10 2" xfId="3084" xr:uid="{22FF91C8-3AB1-437A-BC48-4F0785E2FEBC}"/>
    <cellStyle name="20% - akcent 3 11" xfId="195" xr:uid="{315D5B20-54F6-4C5A-9C30-55E081EA036D}"/>
    <cellStyle name="20% - akcent 3 11 2" xfId="2913" xr:uid="{9FD4621E-00BD-4532-8507-29DC410C2210}"/>
    <cellStyle name="20% - akcent 3 12" xfId="196" xr:uid="{A1D09F92-3AC0-4754-9E5F-1F8D6134CA10}"/>
    <cellStyle name="20% - akcent 3 12 2" xfId="3105" xr:uid="{0C4ACED1-9968-46C9-9BF3-AE3FD0D42A1D}"/>
    <cellStyle name="20% - akcent 3 13" xfId="197" xr:uid="{A16FEC7C-0122-4851-A718-530DC409242C}"/>
    <cellStyle name="20% - akcent 3 13 2" xfId="2807" xr:uid="{3A6D2B0E-768A-49BC-96DA-D9E890F6970E}"/>
    <cellStyle name="20% - akcent 3 14" xfId="198" xr:uid="{0AADFC39-0F97-4E7D-AA71-40120B18C282}"/>
    <cellStyle name="20% - akcent 3 14 2" xfId="2960" xr:uid="{1703FFAC-6575-4289-8CD7-CFAE608A760C}"/>
    <cellStyle name="20% - akcent 3 15" xfId="199" xr:uid="{DB47EBBB-817F-4880-A107-D63E698764F7}"/>
    <cellStyle name="20% - akcent 3 15 2" xfId="2655" xr:uid="{A8ED6687-B507-4818-A999-54E3543EAAE7}"/>
    <cellStyle name="20% - akcent 3 16" xfId="200" xr:uid="{9080B68A-F4CA-4092-8D4C-F19C00D4D9ED}"/>
    <cellStyle name="20% - akcent 3 16 2" xfId="2988" xr:uid="{57FB2684-F9F6-4235-BC6C-E522490F9E60}"/>
    <cellStyle name="20% - akcent 3 17" xfId="201" xr:uid="{7E9CD93F-C026-46A2-972E-D3A7A3F9189A}"/>
    <cellStyle name="20% - akcent 3 17 2" xfId="2638" xr:uid="{507113D3-4391-4ED1-A1A9-F1BE9996C8CC}"/>
    <cellStyle name="20% - akcent 3 18" xfId="202" xr:uid="{1C342F2A-10FC-4200-99CF-196E128370CB}"/>
    <cellStyle name="20% - akcent 3 18 2" xfId="3078" xr:uid="{4FF6AB82-6547-495F-B6FC-F1BB23488370}"/>
    <cellStyle name="20% - akcent 3 19" xfId="203" xr:uid="{8C19145D-9037-43E0-B3A5-613D961B7960}"/>
    <cellStyle name="20% - akcent 3 19 2" xfId="2597" xr:uid="{AD6F4DAF-C1EE-4F72-B29D-FEE7FA8FFF42}"/>
    <cellStyle name="20% - akcent 3 2" xfId="204" xr:uid="{455F8156-536A-41E8-8C93-7A4EB4B6C8BE}"/>
    <cellStyle name="20% — akcent 3 2" xfId="205" xr:uid="{332A5A6E-8C5D-4934-BEFD-0AB89A775417}"/>
    <cellStyle name="20% - akcent 3 2 2" xfId="206" xr:uid="{0A1A62E1-2839-4095-8817-F31451A55C7F}"/>
    <cellStyle name="20% — akcent 3 2 2" xfId="2351" xr:uid="{CF768FEB-6590-4A6C-B633-454E1F58C5C1}"/>
    <cellStyle name="20% - akcent 3 2 2 2" xfId="2469" xr:uid="{C70C8016-B7F4-44BF-9532-6E494423488E}"/>
    <cellStyle name="20% - akcent 3 2 3" xfId="207" xr:uid="{3C1C473A-4E90-43FD-9C07-B412856126DA}"/>
    <cellStyle name="20% - akcent 3 2 3 2" xfId="2442" xr:uid="{54C1ABA4-12B3-4284-A325-FC3A0D5842BC}"/>
    <cellStyle name="20% - akcent 3 2 4" xfId="2265" xr:uid="{36D8EA51-CB95-44A1-BD2D-C8F91D165538}"/>
    <cellStyle name="20% - akcent 3 2_IMPORT" xfId="208" xr:uid="{B7638DC9-0981-4E14-ADE1-FEBEC5CFF358}"/>
    <cellStyle name="20% — akcent 3 2_IMPORT" xfId="209" xr:uid="{CA995DB0-C7EA-417B-84A0-82890ADA99BA}"/>
    <cellStyle name="20% - akcent 3 20" xfId="210" xr:uid="{D3F95110-38A1-4DEF-8863-C0101F5BA843}"/>
    <cellStyle name="20% - akcent 3 20 2" xfId="3001" xr:uid="{3541E5E2-0B08-41D4-927C-FA0A4C7B19B8}"/>
    <cellStyle name="20% - akcent 3 21" xfId="211" xr:uid="{115E032C-9888-472B-8E7A-775BE3FFCABA}"/>
    <cellStyle name="20% - akcent 3 21 2" xfId="2634" xr:uid="{412DFDE4-858B-48C6-8613-60CDABDF6149}"/>
    <cellStyle name="20% - akcent 3 22" xfId="212" xr:uid="{D9B4A166-B1C9-4F49-B5FA-AED215DAC7F1}"/>
    <cellStyle name="20% - akcent 3 22 2" xfId="3087" xr:uid="{77A14BBB-E42E-4E13-BA45-3DA8148A4E50}"/>
    <cellStyle name="20% - akcent 3 23" xfId="213" xr:uid="{37C0BD3C-16DB-4C5D-B681-127C96A741E0}"/>
    <cellStyle name="20% - akcent 3 23 2" xfId="2813" xr:uid="{1913887A-1048-4A45-AF6A-301956050685}"/>
    <cellStyle name="20% - akcent 3 24" xfId="214" xr:uid="{F8FEFF43-CD99-478C-9A76-64E8A03293C6}"/>
    <cellStyle name="20% - akcent 3 24 2" xfId="2866" xr:uid="{7B9EBCBF-FAB1-414D-8029-0508C4720F15}"/>
    <cellStyle name="20% - akcent 3 25" xfId="215" xr:uid="{B7EBFB2A-F42C-493B-8ADD-1FA7F4D5C361}"/>
    <cellStyle name="20% - akcent 3 25 2" xfId="2700" xr:uid="{2CD9BE90-EB9D-4AE3-A4C2-244C23B62926}"/>
    <cellStyle name="20% - akcent 3 26" xfId="216" xr:uid="{277B7067-EF3B-4370-9B61-C7913ED929C1}"/>
    <cellStyle name="20% - akcent 3 26 2" xfId="2760" xr:uid="{ECA9E9BF-8BA9-4010-9F17-247B01B812CE}"/>
    <cellStyle name="20% - akcent 3 27" xfId="217" xr:uid="{94AAF571-5AB1-4840-B55F-5E0AAA94D1C7}"/>
    <cellStyle name="20% - akcent 3 27 2" xfId="2735" xr:uid="{4906A28E-85AA-435E-8B63-7DC7BF8CD7FA}"/>
    <cellStyle name="20% - akcent 3 28" xfId="218" xr:uid="{6D5A5332-A593-4749-8A3B-15D0311899C6}"/>
    <cellStyle name="20% - akcent 3 28 2" xfId="2745" xr:uid="{14DD1ED4-781C-4A1D-AA3A-75D531F06F76}"/>
    <cellStyle name="20% - akcent 3 29" xfId="219" xr:uid="{72A4AF0D-F0BB-48E8-90C2-02897ADDABAE}"/>
    <cellStyle name="20% - akcent 3 29 2" xfId="2969" xr:uid="{1072F452-4E0C-49C4-A16C-90F0A9A009E2}"/>
    <cellStyle name="20% - akcent 3 3" xfId="220" xr:uid="{0D79512F-80A5-489B-96DA-5DC175BC69DA}"/>
    <cellStyle name="20% — akcent 3 3" xfId="221" xr:uid="{30FB642F-4DFC-42C4-804B-021D790EB8F6}"/>
    <cellStyle name="20% — akcent 3 3 2" xfId="2423" xr:uid="{110518A9-F3AC-4174-9776-3F156F7149C4}"/>
    <cellStyle name="20% - akcent 3 30" xfId="222" xr:uid="{A80DB729-7CF0-4365-A8A1-14B44645E4B3}"/>
    <cellStyle name="20% - akcent 3 30 2" xfId="2650" xr:uid="{83E9113A-32CB-4E78-97AC-6DCF15B69E83}"/>
    <cellStyle name="20% - akcent 3 31" xfId="223" xr:uid="{0B7C997F-0E2F-4271-B88F-155EE24A1308}"/>
    <cellStyle name="20% - akcent 3 31 2" xfId="2769" xr:uid="{83B4ECFA-A3A0-4AF6-8921-58CBF89A3E61}"/>
    <cellStyle name="20% - akcent 3 32" xfId="224" xr:uid="{372AED71-6050-48DA-A625-FEFC51764C75}"/>
    <cellStyle name="20% - akcent 3 32 2" xfId="2874" xr:uid="{07336D31-A070-4DB8-9234-7CDE10CB9BFE}"/>
    <cellStyle name="20% - akcent 3 33" xfId="225" xr:uid="{07132EFF-E55A-4BAE-828A-670906A6AB94}"/>
    <cellStyle name="20% - akcent 3 33 2" xfId="2694" xr:uid="{AA0DA85E-1DAE-44FC-A9A5-D029E0E27DD8}"/>
    <cellStyle name="20% - akcent 3 34" xfId="226" xr:uid="{84D4847B-1983-4155-94DF-1729AC18BFE9}"/>
    <cellStyle name="20% - akcent 3 34 2" xfId="2763" xr:uid="{842FDA3F-DB48-48D0-B15C-816493CEB14F}"/>
    <cellStyle name="20% - akcent 3 35" xfId="227" xr:uid="{85C880B9-68D1-41CB-AD40-A55C75EB1DDC}"/>
    <cellStyle name="20% - akcent 3 35 2" xfId="2968" xr:uid="{549B9E58-4AD7-4717-ADBD-4B5473BAC0E7}"/>
    <cellStyle name="20% - akcent 3 36" xfId="228" xr:uid="{9F28D767-358E-42E5-8500-DFA471EC541C}"/>
    <cellStyle name="20% - akcent 3 36 2" xfId="2992" xr:uid="{BF914573-D450-40B3-A9AF-1185CF1C674B}"/>
    <cellStyle name="20% - akcent 3 37" xfId="229" xr:uid="{C35E394E-9A1A-4A65-9A77-AFFE942C0038}"/>
    <cellStyle name="20% - akcent 3 37 2" xfId="2836" xr:uid="{F48A1369-B0BE-4D1F-BCA9-4534A6C708B5}"/>
    <cellStyle name="20% - akcent 3 38" xfId="230" xr:uid="{4E887D96-0F4F-4B62-9DD2-1AA9E4465DA4}"/>
    <cellStyle name="20% - akcent 3 38 2" xfId="2946" xr:uid="{6F5835FA-7DC0-4F3C-AFEE-38EEBA8CE8A4}"/>
    <cellStyle name="20% - akcent 3 39" xfId="231" xr:uid="{32781B9A-32BB-483D-ABA9-239BAB88C451}"/>
    <cellStyle name="20% - akcent 3 39 2" xfId="2663" xr:uid="{0365ACEB-AF4E-481A-AB53-9D979EDCD402}"/>
    <cellStyle name="20% - akcent 3 4" xfId="232" xr:uid="{9A647F5A-0CC4-4058-8D06-EB890BDC409B}"/>
    <cellStyle name="20% — akcent 3 4" xfId="233" xr:uid="{08F465BD-1DA5-482B-913C-39E84A7C707F}"/>
    <cellStyle name="20% — akcent 3 4 2" xfId="234" xr:uid="{32D028E7-E67D-414A-9F4C-9DD8799F671A}"/>
    <cellStyle name="20% — akcent 3 4 3" xfId="2395" xr:uid="{DB0BBF7E-2085-42A1-A9CF-630DF32DBC77}"/>
    <cellStyle name="20% — akcent 3 4_IMPORT" xfId="235" xr:uid="{0485A959-D115-41F8-83B1-E9E592F516B7}"/>
    <cellStyle name="20% - akcent 3 40" xfId="236" xr:uid="{360CF869-77D3-4CE2-A047-03E845F3BD65}"/>
    <cellStyle name="20% - akcent 3 40 2" xfId="2768" xr:uid="{2CD5235D-D5A5-4B47-ACC8-CB36334DEB13}"/>
    <cellStyle name="20% - akcent 3 41" xfId="237" xr:uid="{D11D923F-5566-47EE-8F01-74F662A2EC33}"/>
    <cellStyle name="20% - akcent 3 41 2" xfId="2966" xr:uid="{5BA8A6A7-0205-4A84-BD51-8778D416CA29}"/>
    <cellStyle name="20% - akcent 3 42" xfId="238" xr:uid="{6C194E3E-5D04-4B07-A31B-08891E3B7521}"/>
    <cellStyle name="20% - akcent 3 42 2" xfId="2929" xr:uid="{9CFCAEE9-82AD-46E8-8B0B-FB8797E7037E}"/>
    <cellStyle name="20% - akcent 3 43" xfId="239" xr:uid="{C16BBD92-D67A-4C2C-887E-18FC603362D0}"/>
    <cellStyle name="20% - akcent 3 43 2" xfId="2670" xr:uid="{58286E9C-F5C2-4F32-A56A-C78CEA5311AA}"/>
    <cellStyle name="20% - akcent 3 44" xfId="240" xr:uid="{A7746CE7-3C2D-4397-89B1-54EAE1B3D9F3}"/>
    <cellStyle name="20% - akcent 3 44 2" xfId="3217" xr:uid="{774B1506-F060-49E5-B9A8-CA5F0F080C02}"/>
    <cellStyle name="20% - akcent 3 45" xfId="241" xr:uid="{4AC52864-FDB2-44DC-85EF-20D722670D95}"/>
    <cellStyle name="20% - akcent 3 45 2" xfId="3252" xr:uid="{2140F3DC-22B6-435C-BE98-B0F179922C80}"/>
    <cellStyle name="20% - akcent 3 46" xfId="242" xr:uid="{A4EA50D4-19BF-4285-A08B-17C3EE1FEFCB}"/>
    <cellStyle name="20% - akcent 3 46 2" xfId="3313" xr:uid="{D7AA70D5-A16F-419D-95C4-2E913F146330}"/>
    <cellStyle name="20% - akcent 3 47" xfId="243" xr:uid="{0EA59E99-C3F9-4EDB-802C-E2AA0067AE68}"/>
    <cellStyle name="20% - akcent 3 47 2" xfId="3304" xr:uid="{AB43CE57-BBE4-462C-87DB-83535F7FCF41}"/>
    <cellStyle name="20% - akcent 3 48" xfId="244" xr:uid="{ECC254E9-5617-415B-A6D2-00A28FA42F40}"/>
    <cellStyle name="20% - akcent 3 48 2" xfId="3292" xr:uid="{B196AD7A-3DA7-46EC-B6D4-3F32596DBBF9}"/>
    <cellStyle name="20% - akcent 3 49" xfId="245" xr:uid="{40FD6384-F933-4008-906A-1150B6753755}"/>
    <cellStyle name="20% - akcent 3 49 2" xfId="3289" xr:uid="{8C3F8867-3BE4-4EA1-B47C-536EA67DC6FC}"/>
    <cellStyle name="20% - akcent 3 5" xfId="246" xr:uid="{C89457BA-CA21-41DC-BCA8-C51E3E5FF3EC}"/>
    <cellStyle name="20% — akcent 3 5" xfId="247" xr:uid="{3332E1D3-86B6-44AD-8161-C3AACED2E2C4}"/>
    <cellStyle name="20% — akcent 3 5 2" xfId="248" xr:uid="{D7FBEC94-7E7C-4D66-A14D-2F7CE7DB617C}"/>
    <cellStyle name="20% — akcent 3 5 3" xfId="2441" xr:uid="{C44FC2FC-8AB5-4DBD-9FB3-03C5DD5B3C8E}"/>
    <cellStyle name="20% — akcent 3 5_IMPORT" xfId="249" xr:uid="{13A52E2C-08BE-49FF-B83F-45F3F60023A4}"/>
    <cellStyle name="20% - akcent 3 50" xfId="250" xr:uid="{B5D03651-8732-4466-A31F-3C375A56238E}"/>
    <cellStyle name="20% - akcent 3 51" xfId="251" xr:uid="{CABA3AAA-E0CD-435E-B00E-76A53FF03372}"/>
    <cellStyle name="20% - akcent 3 52" xfId="2264" xr:uid="{CC30F89D-1AB8-4F43-BA08-98A75F490E3A}"/>
    <cellStyle name="20% - akcent 3 6" xfId="252" xr:uid="{1CC20BC4-413F-46DB-A504-C86ACE0D378D}"/>
    <cellStyle name="20% — akcent 3 6" xfId="253" xr:uid="{66595205-0569-48B4-904F-FFF3EEF444FD}"/>
    <cellStyle name="20% — akcent 3 6 2" xfId="3327" xr:uid="{FA10CED2-FB87-422A-9D16-CA2440E4749C}"/>
    <cellStyle name="20% - akcent 3 7" xfId="254" xr:uid="{C91FE76F-DBDF-45EF-B981-82D3D897E6D3}"/>
    <cellStyle name="20% - akcent 3 8" xfId="255" xr:uid="{2E18C970-24F3-4D2D-9BB1-0B8ABD13412D}"/>
    <cellStyle name="20% - akcent 3 8 2" xfId="2517" xr:uid="{3DC7AB09-E835-463D-BE34-B7B38588DB95}"/>
    <cellStyle name="20% - akcent 3 9" xfId="256" xr:uid="{B733714A-F214-460F-9000-BF289AAEDC0B}"/>
    <cellStyle name="20% - akcent 3 9 2" xfId="2598" xr:uid="{E0C77625-C230-499C-ADB6-FCC980182F2D}"/>
    <cellStyle name="20% — akcent 3_03ceny14" xfId="257" xr:uid="{4C1E9F3F-4EEA-4546-8298-799491C012A6}"/>
    <cellStyle name="20% - akcent 3_03ceny36" xfId="258" xr:uid="{51DAE7B6-D10A-4D94-99FD-4E881191FDFE}"/>
    <cellStyle name="20% — akcent 3_03ceny39" xfId="259" xr:uid="{3714C414-ADAD-4ABF-952C-AEB5BF5DC0D0}"/>
    <cellStyle name="20% - akcent 3_Arkusz1" xfId="260" xr:uid="{E934095C-FE1B-455B-8A94-CF715DB2C9AE}"/>
    <cellStyle name="20% — akcent 3_Arkusz1" xfId="3360" xr:uid="{CBBDBE45-0471-4E52-AE5B-A42BB95940E2}"/>
    <cellStyle name="20% - akcent 3_dodatki" xfId="261" xr:uid="{6EB80FFD-0F8C-4F54-A00D-989D746756F8}"/>
    <cellStyle name="20% — akcent 3_dodatki" xfId="262" xr:uid="{2976A564-5D04-48FC-B7E0-DB5011107258}"/>
    <cellStyle name="20% - akcent 3_grupy" xfId="263" xr:uid="{240E3D34-6A0E-4920-91C7-B614FE2163BC}"/>
    <cellStyle name="20% — akcent 3_grupy" xfId="264" xr:uid="{42099925-1D4C-40D9-8EA0-5C14A156FE8B}"/>
    <cellStyle name="20% - akcent 3_NFoto4" xfId="265" xr:uid="{CE11EFE3-8725-4530-ACCB-F64B302D781F}"/>
    <cellStyle name="20% — akcent 3_NFoto4" xfId="266" xr:uid="{7E849ABC-9930-4D5C-9F57-E1F886DF0110}"/>
    <cellStyle name="20% - akcent 3_NVersp50" xfId="267" xr:uid="{1240D67C-F0F8-4599-93B2-5D36BCB766A0}"/>
    <cellStyle name="20% — akcent 3_NVersp70" xfId="268" xr:uid="{629BC978-CB43-443B-BA7B-1ADB0DE7E0D4}"/>
    <cellStyle name="20% - akcent 3_slownik" xfId="269" xr:uid="{CB43F261-C983-4CCD-A321-C28E4565FD48}"/>
    <cellStyle name="20% — akcent 3_slownik" xfId="270" xr:uid="{C58264B7-93AB-4EC0-A760-43F51369900F}"/>
    <cellStyle name="20% - akcent 3_slownik_1" xfId="271" xr:uid="{BB23B1C1-BE3D-4DDD-9443-275DD0B87F36}"/>
    <cellStyle name="20% — akcent 3_slownik_1" xfId="272" xr:uid="{9CD2CF21-4154-4E37-A9C2-87FCDE4761F7}"/>
    <cellStyle name="20% - akcent 3_slownik_1_slownik" xfId="3361" xr:uid="{5EC7B4A5-8F22-4FDA-9471-B38276384207}"/>
    <cellStyle name="20% — akcent 3_slownik_1_slownik" xfId="3362" xr:uid="{7A1768F6-CCAA-40A6-A89F-5884D51829CB}"/>
    <cellStyle name="20% - akcent 3_slownik_2" xfId="3363" xr:uid="{FD3FB272-2E7D-4962-8175-C349304F95D1}"/>
    <cellStyle name="20% — akcent 3_slownik_2" xfId="3364" xr:uid="{3B43DEFC-5FD0-451D-92E4-6937CC1C0203}"/>
    <cellStyle name="20% - akcent 3_slownik_slownik" xfId="3365" xr:uid="{9057DA43-0EBC-444C-9F94-4EC44092759B}"/>
    <cellStyle name="20% — akcent 3_slownik_slownik" xfId="3366" xr:uid="{C1542CD1-E097-4CAE-B2D4-81064C526269}"/>
    <cellStyle name="20% - akcent 4" xfId="273" xr:uid="{AAD3D986-8B24-4950-ADFF-6B124EE8E60A}"/>
    <cellStyle name="20% — akcent 4" xfId="274" xr:uid="{A7F0CAD0-3FEF-4632-8E82-6C123B3BAB27}"/>
    <cellStyle name="20% - akcent 4 10" xfId="275" xr:uid="{B207366D-F608-4DFF-8C71-AED086D7F795}"/>
    <cellStyle name="20% - akcent 4 10 2" xfId="2787" xr:uid="{8024FAF5-628C-4890-A492-F0BB0847688F}"/>
    <cellStyle name="20% - akcent 4 11" xfId="276" xr:uid="{C2CE011D-C632-4CEE-806C-DE282586A02E}"/>
    <cellStyle name="20% - akcent 4 11 2" xfId="3014" xr:uid="{9DC6B468-4B8E-47B5-8285-8AD317D4485F}"/>
    <cellStyle name="20% - akcent 4 12" xfId="277" xr:uid="{1B0BF6D2-80DD-4317-8D2C-A5FB383DFAEA}"/>
    <cellStyle name="20% - akcent 4 12 2" xfId="2825" xr:uid="{113D78B9-58B9-480D-A7D4-FA0C6D078613}"/>
    <cellStyle name="20% - akcent 4 13" xfId="278" xr:uid="{072119A2-0546-49D6-B335-8285498E06D6}"/>
    <cellStyle name="20% - akcent 4 13 2" xfId="2714" xr:uid="{E1B210E1-EC50-451C-829C-D3FA8355D605}"/>
    <cellStyle name="20% - akcent 4 14" xfId="279" xr:uid="{732126D2-2C68-4DB8-A624-61DEB3C826B3}"/>
    <cellStyle name="20% - akcent 4 14 2" xfId="3073" xr:uid="{8BC42B9B-398C-466D-87DA-CB1D4ECDF56C}"/>
    <cellStyle name="20% - akcent 4 15" xfId="280" xr:uid="{BF4D5552-E5CC-441F-8BC8-A7822A9598F2}"/>
    <cellStyle name="20% - akcent 4 15 2" xfId="3032" xr:uid="{55D6A3EA-60C5-41B6-9ABC-318D42FCA1CB}"/>
    <cellStyle name="20% - akcent 4 16" xfId="281" xr:uid="{6D7B44C0-7679-497F-A6B7-7F8339A04B1B}"/>
    <cellStyle name="20% - akcent 4 16 2" xfId="3111" xr:uid="{C76E8CCA-BA07-47D4-9ECD-166586E48083}"/>
    <cellStyle name="20% - akcent 4 17" xfId="282" xr:uid="{01335821-3EF1-4AE3-9E84-717F85B4CC3F}"/>
    <cellStyle name="20% - akcent 4 17 2" xfId="3117" xr:uid="{2E16F8CD-A603-4722-A222-EEE5C11D01F1}"/>
    <cellStyle name="20% - akcent 4 18" xfId="283" xr:uid="{E0D74D28-E7B7-4281-B3EA-934CFC66BD96}"/>
    <cellStyle name="20% - akcent 4 18 2" xfId="3123" xr:uid="{51962DB6-7C89-4822-BC37-74921627DBFD}"/>
    <cellStyle name="20% - akcent 4 19" xfId="284" xr:uid="{D162D1C8-1A84-4E2D-BC4A-29BC536AAD64}"/>
    <cellStyle name="20% - akcent 4 19 2" xfId="3129" xr:uid="{F38D3842-03B0-4DC3-9056-5B4C51F4F27E}"/>
    <cellStyle name="20% - akcent 4 2" xfId="285" xr:uid="{D0B60CED-847E-4E6D-AB59-625F39EC3918}"/>
    <cellStyle name="20% — akcent 4 2" xfId="286" xr:uid="{57C06F32-BACF-4EE1-BDAD-92746FD82359}"/>
    <cellStyle name="20% - akcent 4 2 2" xfId="287" xr:uid="{12E6AD29-1FB8-4B35-B1AB-A9B6E3079A65}"/>
    <cellStyle name="20% — akcent 4 2 2" xfId="2352" xr:uid="{89D97B59-1E23-4716-BB05-C72BCFE8978C}"/>
    <cellStyle name="20% - akcent 4 2 2 2" xfId="2470" xr:uid="{39C9CC08-E5AB-4140-99E1-3AD2CA8786E5}"/>
    <cellStyle name="20% - akcent 4 2 3" xfId="288" xr:uid="{C1E02674-CFF9-4209-ADBD-152FA55FC368}"/>
    <cellStyle name="20% - akcent 4 2 3 2" xfId="2444" xr:uid="{369AFDFF-626E-4D30-9DFA-2F3DD1884A56}"/>
    <cellStyle name="20% - akcent 4 2 4" xfId="2267" xr:uid="{92D6FF2C-F819-4728-A08F-B5A2CA018A88}"/>
    <cellStyle name="20% - akcent 4 2_IMPORT" xfId="289" xr:uid="{026F77AF-134C-470F-80CB-D27E88EF48DC}"/>
    <cellStyle name="20% — akcent 4 2_IMPORT" xfId="290" xr:uid="{5871AE31-22C5-480C-A3DF-DB638D2BD996}"/>
    <cellStyle name="20% - akcent 4 20" xfId="291" xr:uid="{CFCF2974-BDF2-49AE-87B6-C4C0D894688B}"/>
    <cellStyle name="20% - akcent 4 20 2" xfId="3134" xr:uid="{3DB3BEA8-540F-43E6-8A4A-7933EF532B39}"/>
    <cellStyle name="20% - akcent 4 21" xfId="292" xr:uid="{85A7BC06-D7D9-47F3-AFAC-F314B56CA4FB}"/>
    <cellStyle name="20% - akcent 4 21 2" xfId="3139" xr:uid="{24DC138C-9732-4DBB-92E5-41CF4EE48EC2}"/>
    <cellStyle name="20% - akcent 4 22" xfId="293" xr:uid="{58881A6A-6C29-4DCC-84CF-E60CC05D65E6}"/>
    <cellStyle name="20% - akcent 4 22 2" xfId="3144" xr:uid="{1917B9CF-A231-42A2-9383-29BB905DAB97}"/>
    <cellStyle name="20% - akcent 4 23" xfId="294" xr:uid="{05F294DB-3627-4E55-842F-753C5B16DF64}"/>
    <cellStyle name="20% - akcent 4 23 2" xfId="3149" xr:uid="{99FFE8E6-2823-4C65-86D4-5194CD0DF93B}"/>
    <cellStyle name="20% - akcent 4 24" xfId="295" xr:uid="{BBEC8A87-145B-41CD-8D40-F2C955C15C62}"/>
    <cellStyle name="20% - akcent 4 24 2" xfId="3154" xr:uid="{C11A55F7-C85E-4E25-A459-9E4BCA8F1252}"/>
    <cellStyle name="20% - akcent 4 25" xfId="296" xr:uid="{D3F0AD67-CAEF-4621-B5A6-2DFBED4CEB30}"/>
    <cellStyle name="20% - akcent 4 25 2" xfId="3159" xr:uid="{1A049BAA-3B0D-4550-98D9-E3D7D54443C6}"/>
    <cellStyle name="20% - akcent 4 26" xfId="297" xr:uid="{C81FCC08-2646-4183-B349-F0DB145A3AC0}"/>
    <cellStyle name="20% - akcent 4 26 2" xfId="3164" xr:uid="{6EC913F6-3D6E-475B-B16F-D5FCCBF94C99}"/>
    <cellStyle name="20% - akcent 4 27" xfId="298" xr:uid="{FDCE951B-088C-4563-BA43-8A270AAE2357}"/>
    <cellStyle name="20% - akcent 4 27 2" xfId="3168" xr:uid="{8C07BCE5-E900-4C82-87FC-DAC9D1FB05C9}"/>
    <cellStyle name="20% - akcent 4 28" xfId="299" xr:uid="{4031E877-8EDE-4B39-9550-ECEF9326A653}"/>
    <cellStyle name="20% - akcent 4 28 2" xfId="3171" xr:uid="{5260C2AE-FF02-40B8-82B1-6BAE91A78D8D}"/>
    <cellStyle name="20% - akcent 4 29" xfId="300" xr:uid="{E306CBA5-E9D6-49F2-807E-3A9FD6B29A7D}"/>
    <cellStyle name="20% - akcent 4 29 2" xfId="3174" xr:uid="{362511C4-20C3-4014-912C-C52661E90D5E}"/>
    <cellStyle name="20% - akcent 4 3" xfId="301" xr:uid="{B46C9250-66F3-45BD-A824-7D29DB0527D0}"/>
    <cellStyle name="20% — akcent 4 3" xfId="302" xr:uid="{BD3AC712-7673-4846-80C0-EF062E92D301}"/>
    <cellStyle name="20% — akcent 4 3 2" xfId="2424" xr:uid="{21516F57-87EE-4DA7-BE9B-BD84F2D6DAD4}"/>
    <cellStyle name="20% - akcent 4 30" xfId="303" xr:uid="{18FD9CC1-4A43-471C-87D2-A4F5963ACC96}"/>
    <cellStyle name="20% - akcent 4 30 2" xfId="3177" xr:uid="{7807BF0D-3FF1-483D-B93F-204A74E53D31}"/>
    <cellStyle name="20% - akcent 4 31" xfId="304" xr:uid="{E070CE7C-A3F4-4E1F-B258-0BF87517B651}"/>
    <cellStyle name="20% - akcent 4 31 2" xfId="3180" xr:uid="{AA8C3D70-CF2F-4951-A0A5-7F7BE272C9E4}"/>
    <cellStyle name="20% - akcent 4 32" xfId="305" xr:uid="{932C4960-EA07-4C20-939A-5AFDDFB56B06}"/>
    <cellStyle name="20% - akcent 4 32 2" xfId="3183" xr:uid="{FED8A35E-ADD4-491F-ACC9-2877690DB2C3}"/>
    <cellStyle name="20% - akcent 4 33" xfId="306" xr:uid="{7C3C3423-AD45-4F24-A7EC-6EA9D2225EE4}"/>
    <cellStyle name="20% - akcent 4 33 2" xfId="3186" xr:uid="{2867D385-9BA1-497F-879B-6109315D8A0C}"/>
    <cellStyle name="20% - akcent 4 34" xfId="307" xr:uid="{9DA08D6A-4B85-4E09-AF3E-084F847FABD8}"/>
    <cellStyle name="20% - akcent 4 34 2" xfId="3189" xr:uid="{B46FEB2B-C484-4581-922A-05D60C8A8CD5}"/>
    <cellStyle name="20% - akcent 4 35" xfId="308" xr:uid="{4BE9E773-3846-48FA-9C8E-2868240E17A6}"/>
    <cellStyle name="20% - akcent 4 35 2" xfId="3192" xr:uid="{773A34D4-95D7-43B2-8997-16C6C58FE17B}"/>
    <cellStyle name="20% - akcent 4 36" xfId="309" xr:uid="{21B3CA01-F937-44B2-918C-BDD65D9A4D69}"/>
    <cellStyle name="20% - akcent 4 36 2" xfId="3194" xr:uid="{D916FA94-4A39-44E7-A782-D48DAFB92A86}"/>
    <cellStyle name="20% - akcent 4 37" xfId="310" xr:uid="{7B914FA0-FC64-4C06-BF95-C4055E62FDC0}"/>
    <cellStyle name="20% - akcent 4 37 2" xfId="3196" xr:uid="{4F96AB4C-218F-4B1C-B6EC-688B5B3AFA39}"/>
    <cellStyle name="20% - akcent 4 38" xfId="311" xr:uid="{B5203733-F99F-4A2F-9AAF-770BB064F463}"/>
    <cellStyle name="20% - akcent 4 38 2" xfId="3198" xr:uid="{CBFD0273-6D75-4C14-BE34-3F72FF4A90D8}"/>
    <cellStyle name="20% - akcent 4 39" xfId="312" xr:uid="{7A82B86A-CA17-4A9F-97BE-1C42FE3C1902}"/>
    <cellStyle name="20% - akcent 4 39 2" xfId="3200" xr:uid="{6017FCCC-65F4-4F05-9659-CE530F26C1E2}"/>
    <cellStyle name="20% - akcent 4 4" xfId="313" xr:uid="{7E1D6F5C-3262-4424-B5BB-21CEBC2E581B}"/>
    <cellStyle name="20% — akcent 4 4" xfId="314" xr:uid="{E743C90D-E4BC-4857-B55B-62E7E0BCBBB8}"/>
    <cellStyle name="20% — akcent 4 4 2" xfId="315" xr:uid="{D475F200-2B0F-41EB-877E-88A5BDE17423}"/>
    <cellStyle name="20% — akcent 4 4 3" xfId="2396" xr:uid="{96383367-2EAE-4F2C-B74C-BEFE8B30C8DA}"/>
    <cellStyle name="20% — akcent 4 4_IMPORT" xfId="316" xr:uid="{A785D2EA-5FFE-47E3-BB30-4921DFF68515}"/>
    <cellStyle name="20% - akcent 4 40" xfId="317" xr:uid="{D4A9AB68-DDD3-490D-81D9-0A3341023D1E}"/>
    <cellStyle name="20% - akcent 4 40 2" xfId="3202" xr:uid="{70F1F5E4-2515-4E56-B39E-FA729C641E6E}"/>
    <cellStyle name="20% - akcent 4 41" xfId="318" xr:uid="{6E160105-88CF-4680-B55A-166BB5556B30}"/>
    <cellStyle name="20% - akcent 4 41 2" xfId="3204" xr:uid="{7FF81AB1-5441-42CE-B81C-16572DD0597E}"/>
    <cellStyle name="20% - akcent 4 42" xfId="319" xr:uid="{C765843A-0D5D-42EF-B628-290489C76ACE}"/>
    <cellStyle name="20% - akcent 4 42 2" xfId="3206" xr:uid="{A8B948A5-7CB3-4006-B73C-DEF6439B01C3}"/>
    <cellStyle name="20% - akcent 4 43" xfId="320" xr:uid="{8514FB7A-9373-4FB3-80FE-19D26FAFAE6A}"/>
    <cellStyle name="20% - akcent 4 43 2" xfId="3208" xr:uid="{4DEBB391-21D5-449E-B738-7CED97A0E0E5}"/>
    <cellStyle name="20% - akcent 4 44" xfId="321" xr:uid="{ED912CAA-15D7-4620-8130-4C70F9E5C4FE}"/>
    <cellStyle name="20% - akcent 4 44 2" xfId="3218" xr:uid="{B98A5369-2F74-41E5-A27E-B92DF48E9F2E}"/>
    <cellStyle name="20% - akcent 4 45" xfId="322" xr:uid="{BCEB922E-CB0A-4453-B857-E4518D20425E}"/>
    <cellStyle name="20% - akcent 4 45 2" xfId="3268" xr:uid="{D38522E0-4EF5-458F-B3C1-491285CE4784}"/>
    <cellStyle name="20% - akcent 4 46" xfId="323" xr:uid="{9BAD17D6-8242-43AD-9F59-3687A476A131}"/>
    <cellStyle name="20% - akcent 4 46 2" xfId="3261" xr:uid="{BF58838A-8557-4D76-A415-0C24BADF22B2}"/>
    <cellStyle name="20% - akcent 4 47" xfId="324" xr:uid="{DE0C8031-3F6E-4729-A93C-2581A1B26910}"/>
    <cellStyle name="20% - akcent 4 47 2" xfId="3246" xr:uid="{07F972AA-CD30-427D-8648-29C3C9C95C71}"/>
    <cellStyle name="20% - akcent 4 48" xfId="325" xr:uid="{4C1D06C7-E100-47CC-8D74-9372FB2940B4}"/>
    <cellStyle name="20% - akcent 4 48 2" xfId="3239" xr:uid="{BABF7460-9440-4065-B016-D4FE59C76315}"/>
    <cellStyle name="20% - akcent 4 49" xfId="326" xr:uid="{58706048-6F94-4575-87E4-FF930CD6D350}"/>
    <cellStyle name="20% - akcent 4 49 2" xfId="3219" xr:uid="{BE0B0BEC-4C84-474D-A099-373F229D6031}"/>
    <cellStyle name="20% - akcent 4 5" xfId="327" xr:uid="{13169812-22A7-47C1-AD85-7130B46C6602}"/>
    <cellStyle name="20% — akcent 4 5" xfId="328" xr:uid="{10239564-791F-4D65-9117-44E32C2DE35F}"/>
    <cellStyle name="20% — akcent 4 5 2" xfId="329" xr:uid="{13BCF0BB-F4D4-4A64-A6C1-7845B350ED1F}"/>
    <cellStyle name="20% — akcent 4 5 3" xfId="2465" xr:uid="{541F3FDB-243F-4CD1-819B-320B93AE1478}"/>
    <cellStyle name="20% — akcent 4 5_IMPORT" xfId="330" xr:uid="{79A583F6-832B-4C91-A4D7-E60FECB8FB35}"/>
    <cellStyle name="20% - akcent 4 50" xfId="331" xr:uid="{288A8518-D300-4D9A-9B0E-500D338D3E19}"/>
    <cellStyle name="20% - akcent 4 51" xfId="332" xr:uid="{CF724BC8-DDCA-4733-AFFB-E686F878D5CA}"/>
    <cellStyle name="20% - akcent 4 52" xfId="2266" xr:uid="{7E30E937-4D60-4D10-A6F2-462F03969CD1}"/>
    <cellStyle name="20% - akcent 4 6" xfId="333" xr:uid="{B85BA3C1-898F-41DA-867B-30C0CAB232B2}"/>
    <cellStyle name="20% — akcent 4 6" xfId="334" xr:uid="{F5634315-C99D-49E0-9874-5CDC5ED27E36}"/>
    <cellStyle name="20% — akcent 4 6 2" xfId="335" xr:uid="{4E69401D-1AC5-483D-A3CF-9436A5FFA4C8}"/>
    <cellStyle name="20% — akcent 4 6 3" xfId="2443" xr:uid="{E6EBE764-9023-42AA-8D50-CFE83126117D}"/>
    <cellStyle name="20% — akcent 4 6_IMPORT" xfId="336" xr:uid="{FDAFA05F-1389-4055-9B7C-B6080C7172C3}"/>
    <cellStyle name="20% - akcent 4 7" xfId="337" xr:uid="{96396D99-82F4-48EA-8D8A-D75685178DA6}"/>
    <cellStyle name="20% — akcent 4 7" xfId="338" xr:uid="{6E0FA086-54FA-403A-A4F2-58A301E965D1}"/>
    <cellStyle name="20% — akcent 4 7 2" xfId="3328" xr:uid="{EBC5F3F8-413B-4117-B1C6-CAFFA58FEE8E}"/>
    <cellStyle name="20% - akcent 4 8" xfId="339" xr:uid="{A39084ED-8B78-4F23-B68B-9565E440DDB6}"/>
    <cellStyle name="20% - akcent 4 8 2" xfId="2518" xr:uid="{B2C6C543-3CE5-4DA5-9D9E-9460B8FE7441}"/>
    <cellStyle name="20% - akcent 4 9" xfId="340" xr:uid="{EB6DAAFC-4D9D-48B6-A144-49184BE3FF42}"/>
    <cellStyle name="20% - akcent 4 9 2" xfId="2603" xr:uid="{59416966-8DB1-43ED-902B-7A2A12C4970C}"/>
    <cellStyle name="20% — akcent 4_03ceny14" xfId="341" xr:uid="{A1B0A118-46C2-481A-9863-5B1EFA992961}"/>
    <cellStyle name="20% - akcent 4_03ceny36" xfId="342" xr:uid="{2E6020BF-3AC4-44A9-AFC1-B60667A51C90}"/>
    <cellStyle name="20% — akcent 4_03ceny39" xfId="343" xr:uid="{F5663C14-899F-432E-BBA8-1F86FF675127}"/>
    <cellStyle name="20% - akcent 4_Arkusz1" xfId="344" xr:uid="{01B15DFC-BBE4-4CF4-BB97-65AC3BD4234D}"/>
    <cellStyle name="20% — akcent 4_Arkusz1" xfId="3367" xr:uid="{9D049C97-B30E-4D98-BEA3-00402C2A7D22}"/>
    <cellStyle name="20% - akcent 4_dodatki" xfId="345" xr:uid="{80C7AA6A-597E-4563-9CA9-8FB3BC02EC66}"/>
    <cellStyle name="20% — akcent 4_dodatki" xfId="346" xr:uid="{5EFEFB14-85E6-4988-84C5-BEF5B4044E64}"/>
    <cellStyle name="20% - akcent 4_grupy" xfId="347" xr:uid="{87AD9B93-1739-494A-9A86-F24851275DA5}"/>
    <cellStyle name="20% — akcent 4_grupy" xfId="348" xr:uid="{034731FB-81B9-48B0-86BC-E9438B56014D}"/>
    <cellStyle name="20% - akcent 4_NFoto4" xfId="349" xr:uid="{383AFEE5-DAA1-4B60-8E1C-BA9E70773AC3}"/>
    <cellStyle name="20% — akcent 4_NFoto4" xfId="350" xr:uid="{2E1C2CB0-2222-4B8D-812D-568484619F2E}"/>
    <cellStyle name="20% - akcent 4_NVersp50" xfId="351" xr:uid="{11764484-B172-4CC8-81DD-440620BB629B}"/>
    <cellStyle name="20% — akcent 4_NVersp70" xfId="352" xr:uid="{E9CE1092-7024-411C-9022-C51C084B8473}"/>
    <cellStyle name="20% - akcent 4_slownik" xfId="353" xr:uid="{F2761768-689D-41F7-8999-731957E767FE}"/>
    <cellStyle name="20% — akcent 4_slownik" xfId="354" xr:uid="{EEEA4EEB-2657-45F1-8D02-CB4DEA24331F}"/>
    <cellStyle name="20% - akcent 4_slownik_1" xfId="355" xr:uid="{4D599CC0-4D58-4368-BBB5-6C3CE7BD2EA7}"/>
    <cellStyle name="20% — akcent 4_slownik_1" xfId="356" xr:uid="{7175C9AC-A8A9-4B6E-B40D-31CFE9715C98}"/>
    <cellStyle name="20% - akcent 4_slownik_1_slownik" xfId="3368" xr:uid="{A4A378A8-4D90-4251-8E0C-9B4CB6273E63}"/>
    <cellStyle name="20% — akcent 4_slownik_1_slownik" xfId="3369" xr:uid="{4B2765CA-01AB-40DB-B986-6A86DBDFED2B}"/>
    <cellStyle name="20% - akcent 4_slownik_2" xfId="3370" xr:uid="{BCA141C1-A470-4C29-BE84-8FB0CB998CB8}"/>
    <cellStyle name="20% — akcent 4_slownik_2" xfId="3371" xr:uid="{EC22AD53-559D-481D-88DC-26161C36ED4C}"/>
    <cellStyle name="20% - akcent 4_slownik_slownik" xfId="3372" xr:uid="{B4B95579-FEE9-47BC-AB78-1FE8406C42B4}"/>
    <cellStyle name="20% — akcent 4_slownik_slownik" xfId="3373" xr:uid="{831BDCC8-D5D1-441D-8E55-DB070CA2D1F7}"/>
    <cellStyle name="20% - akcent 5" xfId="357" xr:uid="{8D51F080-EF8C-4799-A0F4-B0AA769323E4}"/>
    <cellStyle name="20% — akcent 5" xfId="358" xr:uid="{907479F9-818A-492D-BF22-E262691D3D83}"/>
    <cellStyle name="20% - akcent 5 10" xfId="359" xr:uid="{DCA47547-1F99-4B52-9366-C0F7FAEF91C5}"/>
    <cellStyle name="20% - akcent 5 10 2" xfId="2901" xr:uid="{23F4769F-F445-4DE0-BE3F-3D28CC4E126C}"/>
    <cellStyle name="20% - akcent 5 11" xfId="360" xr:uid="{B2963D3A-8886-49FE-B428-7CAB8D22E13E}"/>
    <cellStyle name="20% - akcent 5 11 2" xfId="2850" xr:uid="{F1DEF737-0550-454C-89FF-E18523F3EDFB}"/>
    <cellStyle name="20% - akcent 5 12" xfId="361" xr:uid="{174E1394-E966-42D5-A9BF-8AF2D9AC3A29}"/>
    <cellStyle name="20% - akcent 5 12 2" xfId="2940" xr:uid="{27FD89D2-E712-4DCA-ABB1-1D9A94713C58}"/>
    <cellStyle name="20% - akcent 5 13" xfId="362" xr:uid="{4F2524C7-E1B4-426B-A770-1ED64340EE72}"/>
    <cellStyle name="20% - akcent 5 13 2" xfId="2844" xr:uid="{5711FF61-FF06-40D8-8196-AE0364B76B8D}"/>
    <cellStyle name="20% - akcent 5 14" xfId="363" xr:uid="{E8E357AE-FEEE-419A-AD7E-1CE7237F3651}"/>
    <cellStyle name="20% - akcent 5 14 2" xfId="2860" xr:uid="{65C19C09-F20E-407F-B1AF-8329540D675C}"/>
    <cellStyle name="20% - akcent 5 15" xfId="364" xr:uid="{8B28887C-2FFF-413C-8649-0295328DB69C}"/>
    <cellStyle name="20% - akcent 5 15 2" xfId="2705" xr:uid="{13D0A17D-E773-4BBF-8AE4-5A4C550CCA14}"/>
    <cellStyle name="20% - akcent 5 16" xfId="365" xr:uid="{F0524216-76BA-4C34-BAEB-2F28E8599CB1}"/>
    <cellStyle name="20% - akcent 5 16 2" xfId="2887" xr:uid="{161F34C3-B719-4125-95B6-426C0868F029}"/>
    <cellStyle name="20% - akcent 5 17" xfId="366" xr:uid="{CB773B84-6DD1-4D40-A46B-026760C4FA70}"/>
    <cellStyle name="20% - akcent 5 17 2" xfId="2938" xr:uid="{F4033292-6BC7-4ACE-867B-B0E86374482D}"/>
    <cellStyle name="20% - akcent 5 18" xfId="367" xr:uid="{206F525C-4E4C-4E42-8779-7FA4038465E2}"/>
    <cellStyle name="20% - akcent 5 18 2" xfId="3058" xr:uid="{80114BD5-BC31-4989-AC25-0C614A62DB70}"/>
    <cellStyle name="20% - akcent 5 19" xfId="368" xr:uid="{D55B28A4-DC9C-4B1C-9FE5-D2ABA1BB0681}"/>
    <cellStyle name="20% - akcent 5 19 2" xfId="3099" xr:uid="{7584B91F-1A3B-487E-8926-7A07E5096CA1}"/>
    <cellStyle name="20% - akcent 5 2" xfId="369" xr:uid="{B4CF2CBF-88E3-42C9-9827-E7BA201E7188}"/>
    <cellStyle name="20% — akcent 5 2" xfId="370" xr:uid="{13565FD6-0DEC-4002-B903-7E016E864256}"/>
    <cellStyle name="20% - akcent 5 2 2" xfId="2269" xr:uid="{1339EB15-F35E-415D-A3F3-5F8D1472E589}"/>
    <cellStyle name="20% — akcent 5 2 2" xfId="2353" xr:uid="{A025F041-A378-4CB3-998F-199B5EF681D6}"/>
    <cellStyle name="20% - akcent 5 2_IMPORT" xfId="371" xr:uid="{E27F2E20-9A5B-46CF-A19B-FE76325AC6E3}"/>
    <cellStyle name="20% — akcent 5 2_IMPORT" xfId="372" xr:uid="{8BB5BA2E-F527-4D78-AAEB-45E6393783EF}"/>
    <cellStyle name="20% - akcent 5 20" xfId="373" xr:uid="{072099D2-FD69-4296-AC64-08169DF0E6F7}"/>
    <cellStyle name="20% - akcent 5 20 2" xfId="3042" xr:uid="{A0570540-7B43-4A81-BFEB-CBE7BBAD285E}"/>
    <cellStyle name="20% - akcent 5 21" xfId="374" xr:uid="{CF67B6F5-228F-4B0F-B590-81E184A14D80}"/>
    <cellStyle name="20% - akcent 5 21 2" xfId="3047" xr:uid="{488B9682-A45A-4980-AC4D-E5323CEDF823}"/>
    <cellStyle name="20% - akcent 5 22" xfId="375" xr:uid="{DBCF94E7-A3F7-40B2-BD6E-880923364F84}"/>
    <cellStyle name="20% - akcent 5 22 2" xfId="2818" xr:uid="{F9C857FD-BDA8-4E6A-8495-40F659108AE4}"/>
    <cellStyle name="20% - akcent 5 23" xfId="376" xr:uid="{A1813483-59B1-49A4-882D-ED1BA3087E5E}"/>
    <cellStyle name="20% - akcent 5 23 2" xfId="2715" xr:uid="{7D2DC0CA-1BD7-4DE8-8FF4-3FB4DB073FEA}"/>
    <cellStyle name="20% - akcent 5 24" xfId="377" xr:uid="{AD09651D-2161-4D63-9466-C5596A30B31F}"/>
    <cellStyle name="20% - akcent 5 24 2" xfId="2885" xr:uid="{C9565FAB-EE2D-423E-8C2D-317ADE9CB016}"/>
    <cellStyle name="20% - akcent 5 25" xfId="378" xr:uid="{7288956E-20DA-456C-A0B2-6254F59D8A24}"/>
    <cellStyle name="20% - akcent 5 25 2" xfId="2690" xr:uid="{1089C71D-C50E-4B9D-9D36-EF08622D9D78}"/>
    <cellStyle name="20% - akcent 5 26" xfId="379" xr:uid="{5F732450-29FE-4C62-AE2D-519C5EF94441}"/>
    <cellStyle name="20% - akcent 5 26 2" xfId="2764" xr:uid="{7D55A0AE-666A-4AE8-BD46-359851263A22}"/>
    <cellStyle name="20% - akcent 5 27" xfId="380" xr:uid="{38EAFAE0-9786-4CBF-BE60-A4AA1D16AF41}"/>
    <cellStyle name="20% - akcent 5 27 2" xfId="2876" xr:uid="{11AA893E-495B-4992-926F-47D3FD3C83C3}"/>
    <cellStyle name="20% - akcent 5 28" xfId="381" xr:uid="{C059635D-C413-4DC3-AFE8-4D1055683397}"/>
    <cellStyle name="20% - akcent 5 28 2" xfId="3011" xr:uid="{BADD5ED9-0573-4B91-AD85-C8A13CDF0566}"/>
    <cellStyle name="20% - akcent 5 29" xfId="382" xr:uid="{1559870F-DF0C-4220-82CE-43C786DB9903}"/>
    <cellStyle name="20% - akcent 5 29 2" xfId="2828" xr:uid="{3B373B65-63C7-46B8-B1AE-A7CA7E11BA2F}"/>
    <cellStyle name="20% - akcent 5 3" xfId="383" xr:uid="{DFF3DDFA-3815-40E8-AB3F-5FA4B03013F8}"/>
    <cellStyle name="20% — akcent 5 3" xfId="384" xr:uid="{EC9CE910-F86B-4EE5-A526-B49C1ECB7427}"/>
    <cellStyle name="20% — akcent 5 3 2" xfId="2425" xr:uid="{1A477AA5-8E54-4477-A2B8-9FB93C3F71BB}"/>
    <cellStyle name="20% - akcent 5 30" xfId="385" xr:uid="{0CA89DFE-94B4-4F69-849F-05183EEDCE7E}"/>
    <cellStyle name="20% - akcent 5 30 2" xfId="2863" xr:uid="{28B8698E-7B62-40C8-9F23-41503759E0B0}"/>
    <cellStyle name="20% - akcent 5 31" xfId="386" xr:uid="{DC18C31E-6213-4FC0-8946-2D5E185511B6}"/>
    <cellStyle name="20% - akcent 5 31 2" xfId="2854" xr:uid="{236A20F2-CF81-412C-A8B2-A0A998011373}"/>
    <cellStyle name="20% - akcent 5 32" xfId="387" xr:uid="{48D55062-10E7-4215-B696-92E1862A6BAA}"/>
    <cellStyle name="20% - akcent 5 32 2" xfId="2708" xr:uid="{9E018A06-2EFC-4010-9CF0-AEFAC51AE3F5}"/>
    <cellStyle name="20% - akcent 5 33" xfId="388" xr:uid="{CDE88B43-624B-4B0D-83EC-A9E899FFDAC4}"/>
    <cellStyle name="20% - akcent 5 33 2" xfId="2999" xr:uid="{91DBC056-08A2-40FB-B252-BF8DF6CB8C6F}"/>
    <cellStyle name="20% - akcent 5 34" xfId="389" xr:uid="{90539308-A5E6-4D0D-AD8D-7FEABDBB257D}"/>
    <cellStyle name="20% - akcent 5 34 2" xfId="3108" xr:uid="{2D951D92-E595-44E2-87E3-5BA759AB8731}"/>
    <cellStyle name="20% - akcent 5 35" xfId="390" xr:uid="{E350984B-9FBE-4B72-A936-D1F5F36639A0}"/>
    <cellStyle name="20% - akcent 5 35 2" xfId="2804" xr:uid="{371C0058-E4BA-4593-A68C-C05B8B4B9A5D}"/>
    <cellStyle name="20% - akcent 5 36" xfId="391" xr:uid="{11DDA435-2163-4C0D-8025-D6AC8BEB345C}"/>
    <cellStyle name="20% - akcent 5 36 2" xfId="2720" xr:uid="{4C1F3F1D-F460-4A4A-B520-70A8A27C0D57}"/>
    <cellStyle name="20% - akcent 5 37" xfId="392" xr:uid="{B8864843-48DD-4F79-A0BE-A77EC99EEEA4}"/>
    <cellStyle name="20% - akcent 5 37 2" xfId="2754" xr:uid="{1322DD87-83A1-4FFE-A171-F863014BAAE1}"/>
    <cellStyle name="20% - akcent 5 38" xfId="393" xr:uid="{37FA9F13-9CD5-4885-9722-49869730DB53}"/>
    <cellStyle name="20% - akcent 5 38 2" xfId="2739" xr:uid="{8063E613-FAF0-4F3B-A17C-BFC3F4F852C6}"/>
    <cellStyle name="20% - akcent 5 39" xfId="394" xr:uid="{3E20A99B-9ADD-4725-8A01-CACE2656370B}"/>
    <cellStyle name="20% - akcent 5 39 2" xfId="2742" xr:uid="{20A8F4A1-BF7A-4080-AB40-4C22BEB742F8}"/>
    <cellStyle name="20% - akcent 5 4" xfId="395" xr:uid="{032B868B-7E3B-4C9E-AB1E-AF0BE33ACC4C}"/>
    <cellStyle name="20% — akcent 5 4" xfId="396" xr:uid="{32834830-0A70-4AB2-8F48-88B19F7F3607}"/>
    <cellStyle name="20% — akcent 5 4 2" xfId="2397" xr:uid="{2F287277-9630-47B8-9982-535CEE63CBB9}"/>
    <cellStyle name="20% - akcent 5 40" xfId="397" xr:uid="{3523447D-B1FB-4294-BF55-B31F5A42357A}"/>
    <cellStyle name="20% - akcent 5 40 2" xfId="2971" xr:uid="{FA826B62-D13F-404C-B520-B8F586044118}"/>
    <cellStyle name="20% - akcent 5 41" xfId="398" xr:uid="{EFAB3E37-A357-4CC7-9496-CC32397EA04C}"/>
    <cellStyle name="20% - akcent 5 41 2" xfId="2647" xr:uid="{7BB231A5-DCC8-4C20-B5B6-7AC221720590}"/>
    <cellStyle name="20% - akcent 5 42" xfId="399" xr:uid="{16298FB5-B919-4D56-A800-3B99ACC2080C}"/>
    <cellStyle name="20% - akcent 5 42 2" xfId="2771" xr:uid="{F288FD06-6F9E-4179-A8E2-0D073BC851F7}"/>
    <cellStyle name="20% - akcent 5 43" xfId="400" xr:uid="{D4356792-EC1E-4E23-AB84-9B701E2B200C}"/>
    <cellStyle name="20% - akcent 5 43 2" xfId="2732" xr:uid="{FE530CBE-612C-4F1E-9BFE-88522F952E48}"/>
    <cellStyle name="20% - akcent 5 44" xfId="401" xr:uid="{CE0D306F-1618-4A87-B2E9-2F50AF49CED0}"/>
    <cellStyle name="20% - akcent 5 44 2" xfId="3220" xr:uid="{6B148850-EB34-49C5-A474-A107C800A8D8}"/>
    <cellStyle name="20% - akcent 5 45" xfId="402" xr:uid="{C9E85917-33CD-4F12-B5B5-2B462B422A49}"/>
    <cellStyle name="20% - akcent 5 45 2" xfId="3279" xr:uid="{64774B61-8201-4D8A-B7A9-CF350D824684}"/>
    <cellStyle name="20% - akcent 5 46" xfId="403" xr:uid="{29F97CDC-7CFF-4176-8604-A8713F20B80D}"/>
    <cellStyle name="20% - akcent 5 46 2" xfId="3297" xr:uid="{5FF4C7A9-868F-4EC8-A14A-A6CE8E52CEB0}"/>
    <cellStyle name="20% - akcent 5 47" xfId="404" xr:uid="{555F780D-F007-4FA9-AF4A-BDD827BE6BEB}"/>
    <cellStyle name="20% - akcent 5 47 2" xfId="3302" xr:uid="{AF2F9799-C648-43A2-A176-4A7DA3E72AAE}"/>
    <cellStyle name="20% - akcent 5 48" xfId="405" xr:uid="{1B763E59-91D5-422C-AA5F-5CDEAA44663E}"/>
    <cellStyle name="20% - akcent 5 48 2" xfId="3281" xr:uid="{30560BD0-04A6-4196-8709-DC892917520D}"/>
    <cellStyle name="20% - akcent 5 49" xfId="406" xr:uid="{BAC0EB2A-D051-4E59-891D-276DE6FCA867}"/>
    <cellStyle name="20% - akcent 5 49 2" xfId="3290" xr:uid="{C7F19B19-430D-4543-A975-B458E89C3A86}"/>
    <cellStyle name="20% - akcent 5 5" xfId="407" xr:uid="{25B06769-AE65-4780-A3E2-91A770B78DB8}"/>
    <cellStyle name="20% — akcent 5 5" xfId="408" xr:uid="{007B2392-107D-4BF3-BC9C-3F6586CC1F90}"/>
    <cellStyle name="20% — akcent 5 5 2" xfId="2445" xr:uid="{38CD9056-DFF5-400F-A1AA-5A42187D7643}"/>
    <cellStyle name="20% - akcent 5 50" xfId="409" xr:uid="{3DA8F972-805D-4ECD-9BAD-FF46F79391FE}"/>
    <cellStyle name="20% - akcent 5 51" xfId="410" xr:uid="{8C659C07-3915-4878-BBBB-EB6A3B902668}"/>
    <cellStyle name="20% - akcent 5 52" xfId="2268" xr:uid="{B540EA75-7D97-4698-AF54-B9AE49D02768}"/>
    <cellStyle name="20% - akcent 5 6" xfId="411" xr:uid="{2C071E81-77A1-4231-9134-6495A594A603}"/>
    <cellStyle name="20% — akcent 5 6" xfId="412" xr:uid="{CFF14F93-A291-4F37-9425-8B7FD95D2BAB}"/>
    <cellStyle name="20% — akcent 5 6 2" xfId="3329" xr:uid="{AEEFF255-4DC1-4AC5-9546-CBC6C0EB63CB}"/>
    <cellStyle name="20% - akcent 5 7" xfId="413" xr:uid="{72F4ACF1-BAE7-4ED6-B685-8E86437B343E}"/>
    <cellStyle name="20% - akcent 5 8" xfId="414" xr:uid="{47B5A193-0456-4420-9703-97A8476DF152}"/>
    <cellStyle name="20% - akcent 5 8 2" xfId="2519" xr:uid="{17025E9E-5023-4F95-8FCA-39F8F6E78E3C}"/>
    <cellStyle name="20% - akcent 5 9" xfId="415" xr:uid="{80395950-4C66-4BDF-82E6-0317386CD9F8}"/>
    <cellStyle name="20% - akcent 5 9 2" xfId="2611" xr:uid="{A158A33D-B816-4464-B2EB-1CCD3C180572}"/>
    <cellStyle name="20% — akcent 5_03ceny14" xfId="416" xr:uid="{82A68752-7F54-4471-A75B-A984DC033B77}"/>
    <cellStyle name="20% - akcent 5_03ceny36" xfId="417" xr:uid="{3F2E7857-6C92-4382-92AB-22708DEEE447}"/>
    <cellStyle name="20% — akcent 5_03ceny39" xfId="418" xr:uid="{AE27481F-AFE0-4357-B9F6-0C96879ED7D4}"/>
    <cellStyle name="20% - akcent 5_Arkusz1" xfId="419" xr:uid="{22795C01-0199-4A4A-9463-573AF7E106BE}"/>
    <cellStyle name="20% — akcent 5_Arkusz1" xfId="3374" xr:uid="{275D58E3-0D05-4A6F-9196-30E1136EDBA8}"/>
    <cellStyle name="20% - akcent 5_dodatki" xfId="420" xr:uid="{725DAF88-8B68-49F6-8375-EC3A687062C0}"/>
    <cellStyle name="20% — akcent 5_dodatki" xfId="421" xr:uid="{C185CB06-1F73-4626-BE6B-B74A3BBD9E28}"/>
    <cellStyle name="20% - akcent 5_grupy" xfId="422" xr:uid="{96DA12D7-CFC9-433C-A526-4315180830E7}"/>
    <cellStyle name="20% — akcent 5_grupy" xfId="423" xr:uid="{A5C09DE0-97D1-46AA-B834-8D9F493ED71B}"/>
    <cellStyle name="20% - akcent 5_NFoto4" xfId="424" xr:uid="{41EC2FF6-DBF5-4430-8166-B1B706825193}"/>
    <cellStyle name="20% — akcent 5_NFoto4" xfId="425" xr:uid="{ADDA9A1B-6334-4C9C-9727-11FE24A13922}"/>
    <cellStyle name="20% - akcent 5_NVersp50" xfId="426" xr:uid="{2048763F-3359-411D-B043-61B7E7756A62}"/>
    <cellStyle name="20% — akcent 5_NVersp70" xfId="427" xr:uid="{478E11B6-C071-44EB-A82C-4AB9BE082837}"/>
    <cellStyle name="20% - akcent 5_slownik" xfId="428" xr:uid="{26A5E62C-8122-42C8-8381-65DA0D68CCDC}"/>
    <cellStyle name="20% — akcent 5_slownik" xfId="429" xr:uid="{24CB39D1-3E8C-4528-98E7-7C669223C7A1}"/>
    <cellStyle name="20% - akcent 5_slownik_1" xfId="430" xr:uid="{C8C8CD59-C841-4463-BBCF-235343515204}"/>
    <cellStyle name="20% — akcent 5_slownik_1" xfId="431" xr:uid="{CC5A1961-E815-4750-9F1C-5467736F406F}"/>
    <cellStyle name="20% - akcent 5_slownik_1_slownik" xfId="3375" xr:uid="{C97D4704-8004-4F0E-9838-A83AC7553343}"/>
    <cellStyle name="20% — akcent 5_slownik_1_slownik" xfId="3376" xr:uid="{8CE8F3B5-6555-4BB5-B79D-BD27B143AA3A}"/>
    <cellStyle name="20% - akcent 5_slownik_2" xfId="3377" xr:uid="{8AEE73C1-667B-4848-A47A-83FC6FAB0F35}"/>
    <cellStyle name="20% — akcent 5_slownik_2" xfId="3378" xr:uid="{19592E9D-63F3-4C00-ABA7-4644297AB666}"/>
    <cellStyle name="20% - akcent 5_slownik_slownik" xfId="3379" xr:uid="{9413F1C4-2B77-4507-96E6-8A13EE69AA4A}"/>
    <cellStyle name="20% — akcent 5_slownik_slownik" xfId="3380" xr:uid="{BB655FA2-6BF8-4C81-885B-9BD4FC668485}"/>
    <cellStyle name="20% - akcent 6" xfId="432" xr:uid="{DC15F85F-DBFA-4AB6-96C7-DBE578BB2ECF}"/>
    <cellStyle name="20% — akcent 6" xfId="433" xr:uid="{6161E963-B23E-40B9-A1FD-CA83450CF8D6}"/>
    <cellStyle name="20% - akcent 6 10" xfId="434" xr:uid="{6F96D001-D5B0-4290-8ABD-BB7B36C1D14F}"/>
    <cellStyle name="20% - akcent 6 10 2" xfId="2899" xr:uid="{B5FE19AA-B8C4-4F23-AF00-E5A4ACFF6585}"/>
    <cellStyle name="20% - akcent 6 11" xfId="435" xr:uid="{30B09BF7-02ED-4C13-AAA7-C48978D68EB4}"/>
    <cellStyle name="20% - akcent 6 11 2" xfId="3010" xr:uid="{8D3AF685-01FC-41E7-81DD-D1E84EAC7300}"/>
    <cellStyle name="20% - akcent 6 12" xfId="436" xr:uid="{36D7164E-C5A3-4BCC-9963-49F114278733}"/>
    <cellStyle name="20% - akcent 6 12 2" xfId="2829" xr:uid="{8D4F6F90-F1F6-42C0-85B0-F00AC4C416EE}"/>
    <cellStyle name="20% - akcent 6 13" xfId="437" xr:uid="{B8E3528A-32B8-4512-B85E-518FCC8FE763}"/>
    <cellStyle name="20% - akcent 6 13 2" xfId="2713" xr:uid="{D427A0A2-596B-4DB9-BD29-B5B767E93AE1}"/>
    <cellStyle name="20% - akcent 6 14" xfId="438" xr:uid="{3381586B-5074-44E4-BBEE-003DD54AA88E}"/>
    <cellStyle name="20% - akcent 6 14 2" xfId="2975" xr:uid="{88C6103B-E738-4919-98F2-89E852EA7757}"/>
    <cellStyle name="20% - akcent 6 15" xfId="439" xr:uid="{C97B2A75-FFCB-4018-896E-9782DD10943D}"/>
    <cellStyle name="20% - akcent 6 15 2" xfId="2839" xr:uid="{78B9B1A3-3E6C-449D-8588-DAF511797BC4}"/>
    <cellStyle name="20% - akcent 6 16" xfId="440" xr:uid="{47ECA51F-6AA5-4565-BC43-5CA0ABC7AC00}"/>
    <cellStyle name="20% - akcent 6 16 2" xfId="2861" xr:uid="{91CBD1A2-1888-4767-8541-D11C8394F8CA}"/>
    <cellStyle name="20% - akcent 6 17" xfId="441" xr:uid="{E664F7DB-929F-4F8A-ADE5-152E380C64E8}"/>
    <cellStyle name="20% - akcent 6 17 2" xfId="2704" xr:uid="{E83752FB-E8C0-4CD3-9BE1-0B8F590A8C4E}"/>
    <cellStyle name="20% - akcent 6 18" xfId="442" xr:uid="{C4177D54-3138-4016-9A29-098DBB10A6B8}"/>
    <cellStyle name="20% - akcent 6 18 2" xfId="2888" xr:uid="{A1731862-7845-4B91-B0BC-A3026F4B1DFD}"/>
    <cellStyle name="20% - akcent 6 19" xfId="443" xr:uid="{74551CD2-C2CC-41AC-BAF1-9E3D7F8602E9}"/>
    <cellStyle name="20% - akcent 6 19 2" xfId="3039" xr:uid="{10AF4E75-6C12-4BD1-BD64-32AD26485D99}"/>
    <cellStyle name="20% - akcent 6 2" xfId="444" xr:uid="{C9831D16-EFF0-4DE3-A955-29C82607F164}"/>
    <cellStyle name="20% — akcent 6 2" xfId="445" xr:uid="{E874587A-CA25-4444-B4D9-7216B46AF8CE}"/>
    <cellStyle name="20% - akcent 6 2 2" xfId="446" xr:uid="{54FA8A35-A8BA-4A2A-A9A7-06D58E62E040}"/>
    <cellStyle name="20% — akcent 6 2 2" xfId="2354" xr:uid="{8CE3FA17-5597-41EC-ACBF-98AACC09DCEF}"/>
    <cellStyle name="20% - akcent 6 2 2 2" xfId="2471" xr:uid="{D2A7FE13-5114-47AD-932E-A53E4711B626}"/>
    <cellStyle name="20% - akcent 6 2 3" xfId="447" xr:uid="{D4232F24-580D-4A40-BF53-68335439CAA6}"/>
    <cellStyle name="20% - akcent 6 2 3 2" xfId="2447" xr:uid="{BCD69403-ED57-42E7-9CAF-96F6CE7012AF}"/>
    <cellStyle name="20% - akcent 6 2 4" xfId="2271" xr:uid="{55326AF3-98FC-499F-B6D5-4CA77BB6417E}"/>
    <cellStyle name="20% - akcent 6 2_IMPORT" xfId="448" xr:uid="{1D2DB3B2-D347-4809-9570-358BDB45C1DB}"/>
    <cellStyle name="20% — akcent 6 2_IMPORT" xfId="449" xr:uid="{0FBA0867-BFF2-4533-AC08-7B1E2FA9EEF3}"/>
    <cellStyle name="20% - akcent 6 20" xfId="450" xr:uid="{BDB584F7-0EA7-4C7E-ADCD-8F22610307A3}"/>
    <cellStyle name="20% - akcent 6 20 2" xfId="2616" xr:uid="{2DF3D031-3250-4C6A-A62B-E4425B2D6F4C}"/>
    <cellStyle name="20% - akcent 6 21" xfId="451" xr:uid="{8A6681FC-FFA8-48A3-AC80-42D9D8EEC269}"/>
    <cellStyle name="20% - akcent 6 21 2" xfId="3080" xr:uid="{6E1CB196-9BE5-441D-914C-0A0662619DD6}"/>
    <cellStyle name="20% - akcent 6 22" xfId="452" xr:uid="{A33302EA-2C93-4557-A150-C797C72079F1}"/>
    <cellStyle name="20% - akcent 6 22 2" xfId="2595" xr:uid="{C133A948-8C8E-4ACC-B2FA-F8A4A5133F3C}"/>
    <cellStyle name="20% - akcent 6 23" xfId="453" xr:uid="{F806AD55-53F9-4A5E-8126-5F652231AF64}"/>
    <cellStyle name="20% - akcent 6 23 2" xfId="2792" xr:uid="{F5D24628-F6E1-49CB-8943-09EBE825E7CD}"/>
    <cellStyle name="20% - akcent 6 24" xfId="454" xr:uid="{C9D6E0ED-9777-4EF4-9347-71FDF634AEFE}"/>
    <cellStyle name="20% - akcent 6 24 2" xfId="2870" xr:uid="{2CCE1CAD-C8B8-4BE1-B8C0-F0C6406FCD3B}"/>
    <cellStyle name="20% - akcent 6 25" xfId="455" xr:uid="{0D1EF3F8-0033-47C4-A3FD-4890C8F5B29D}"/>
    <cellStyle name="20% - akcent 6 25 2" xfId="2696" xr:uid="{9D4349AD-097A-422B-8ECE-8C225EC1E9C3}"/>
    <cellStyle name="20% - akcent 6 26" xfId="456" xr:uid="{479E8141-A7CE-426E-BA06-6ED73E7FCD16}"/>
    <cellStyle name="20% - akcent 6 26 2" xfId="3024" xr:uid="{661A3417-DAB1-4DD8-8053-377F51F3017B}"/>
    <cellStyle name="20% - akcent 6 27" xfId="457" xr:uid="{ED34D253-D84D-4146-BB22-0BC578F8EA5B}"/>
    <cellStyle name="20% - akcent 6 27 2" xfId="2624" xr:uid="{7F3E48D1-F3D9-4924-BE61-B151A81546E9}"/>
    <cellStyle name="20% - akcent 6 28" xfId="458" xr:uid="{FE0547E6-3804-4F5C-8D2F-1397D90DF63C}"/>
    <cellStyle name="20% - akcent 6 28 2" xfId="2898" xr:uid="{21EBA962-B9EE-45A9-8A73-1DA0EEA23B27}"/>
    <cellStyle name="20% - akcent 6 29" xfId="459" xr:uid="{E5FDDDF8-4476-4396-9109-C6B9505D2F20}"/>
    <cellStyle name="20% - akcent 6 29 2" xfId="3038" xr:uid="{FB3DAB38-F1CF-4577-862A-E293528D4802}"/>
    <cellStyle name="20% - akcent 6 3" xfId="460" xr:uid="{AED56094-2153-413A-9DD0-FC376E4DDB15}"/>
    <cellStyle name="20% — akcent 6 3" xfId="461" xr:uid="{09078217-86AC-47AF-A636-8BA9E224CB6B}"/>
    <cellStyle name="20% — akcent 6 3 2" xfId="2426" xr:uid="{9E88FEF3-39C7-4109-96BB-A19FE444DBC6}"/>
    <cellStyle name="20% - akcent 6 30" xfId="462" xr:uid="{1FB0A444-B711-4DBD-986C-530DAAF10A20}"/>
    <cellStyle name="20% - akcent 6 30 2" xfId="2617" xr:uid="{30CDCC4F-E1BD-421B-8ACB-DD3515BE5AD5}"/>
    <cellStyle name="20% - akcent 6 31" xfId="463" xr:uid="{D2AADEB9-822B-42F4-B53E-1041EA38E7E7}"/>
    <cellStyle name="20% - akcent 6 31 2" xfId="2900" xr:uid="{77C95350-93EA-41FA-B9CA-B2C6BB06A9BD}"/>
    <cellStyle name="20% - akcent 6 32" xfId="464" xr:uid="{7667EA80-2E47-4CDF-A541-EBFC10098096}"/>
    <cellStyle name="20% - akcent 6 32 2" xfId="3060" xr:uid="{A366D06E-DA57-4310-A710-2F4C615A2B55}"/>
    <cellStyle name="20% - akcent 6 33" xfId="465" xr:uid="{8D6AC0A2-6799-48E3-9BE4-BBB6D89E30C2}"/>
    <cellStyle name="20% - akcent 6 33 2" xfId="2815" xr:uid="{4152BF8A-CA28-4EA2-BA0D-D86E69698E2B}"/>
    <cellStyle name="20% - akcent 6 34" xfId="466" xr:uid="{AC700040-CE4B-4616-B645-B499C636D61E}"/>
    <cellStyle name="20% - akcent 6 34 2" xfId="3067" xr:uid="{ECC3413A-67B0-4037-96BA-541B59D58BB7}"/>
    <cellStyle name="20% - akcent 6 35" xfId="467" xr:uid="{7AD495B2-8F01-4801-944C-7E8B4C7A451B}"/>
    <cellStyle name="20% - akcent 6 35 2" xfId="2918" xr:uid="{72B593DA-9C18-4BDA-9BE2-F8087939A57D}"/>
    <cellStyle name="20% - akcent 6 36" xfId="468" xr:uid="{EE8CFB69-A6CC-4F67-9E00-60B36E559095}"/>
    <cellStyle name="20% - akcent 6 36 2" xfId="2993" xr:uid="{DA43AEEC-CD76-4A7D-AEBE-2A574B0B5A96}"/>
    <cellStyle name="20% - akcent 6 37" xfId="469" xr:uid="{44535CE6-1BEA-4BF2-AD8E-144320C5CAA9}"/>
    <cellStyle name="20% - akcent 6 37 2" xfId="2635" xr:uid="{A1566427-37F2-46BF-8BA4-DC8E883DB83E}"/>
    <cellStyle name="20% - akcent 6 38" xfId="470" xr:uid="{95E2C62A-2531-45B9-915A-2AF2C4A33F59}"/>
    <cellStyle name="20% - akcent 6 38 2" xfId="2896" xr:uid="{410D4154-3128-49EB-9007-BA1892C3215A}"/>
    <cellStyle name="20% - akcent 6 39" xfId="471" xr:uid="{84A35F97-1FB6-4241-A7AC-8C86D9589B5D}"/>
    <cellStyle name="20% - akcent 6 39 2" xfId="2683" xr:uid="{CE9A56FF-A553-497C-A75B-7645537B5AEC}"/>
    <cellStyle name="20% - akcent 6 4" xfId="472" xr:uid="{F1BEC191-37F3-40AF-987C-03F186E2C2F5}"/>
    <cellStyle name="20% — akcent 6 4" xfId="473" xr:uid="{AFAC3124-B92B-4FBF-82AE-61DB93A2FE64}"/>
    <cellStyle name="20% — akcent 6 4 2" xfId="2398" xr:uid="{BC8FFF59-B77C-4271-8651-BC219D9D97DE}"/>
    <cellStyle name="20% - akcent 6 40" xfId="474" xr:uid="{847C1CD8-0BE8-4985-9968-CE628D9EB5FF}"/>
    <cellStyle name="20% - akcent 6 40 2" xfId="3031" xr:uid="{2CB29FB8-D3FA-4CD0-B2A2-CAFFA249B840}"/>
    <cellStyle name="20% - akcent 6 41" xfId="475" xr:uid="{BB1A6F0F-B1E8-40A0-BD15-819BEF840C0A}"/>
    <cellStyle name="20% - akcent 6 41 2" xfId="3049" xr:uid="{9D343C4A-8C2D-4882-9AE7-AFCBF7B287B2}"/>
    <cellStyle name="20% - akcent 6 42" xfId="476" xr:uid="{E4C3B696-F241-4B3E-9D72-041C06152DA6}"/>
    <cellStyle name="20% - akcent 6 42 2" xfId="2612" xr:uid="{6BA19E8B-EA49-4C8A-B788-62EB2146382B}"/>
    <cellStyle name="20% - akcent 6 43" xfId="477" xr:uid="{08F935BA-2227-4AEA-AB0D-A24A6BB5F8A0}"/>
    <cellStyle name="20% - akcent 6 43 2" xfId="2785" xr:uid="{309E58A2-F7D8-45B7-8234-D4312AFF4D0F}"/>
    <cellStyle name="20% - akcent 6 44" xfId="478" xr:uid="{94AF13D0-4B76-40D7-9BFD-34DC7EBDBDD1}"/>
    <cellStyle name="20% - akcent 6 44 2" xfId="3221" xr:uid="{03EC0444-E50C-4EA5-8E40-E454839F9781}"/>
    <cellStyle name="20% - akcent 6 45" xfId="479" xr:uid="{41B2442A-ADE2-42E8-8718-BF01FEA6B155}"/>
    <cellStyle name="20% - akcent 6 45 2" xfId="3250" xr:uid="{1E963C2B-6790-4A67-8C42-7D0BDA1B96E4}"/>
    <cellStyle name="20% - akcent 6 46" xfId="480" xr:uid="{0C6818D1-EE1A-46C3-9414-27F3326DCD27}"/>
    <cellStyle name="20% - akcent 6 46 2" xfId="3230" xr:uid="{40BD23E0-137B-46CE-9ADA-C5ADF5781AAA}"/>
    <cellStyle name="20% - akcent 6 47" xfId="481" xr:uid="{97474D47-2FC8-4FF2-8941-784129DEC583}"/>
    <cellStyle name="20% - akcent 6 47 2" xfId="3251" xr:uid="{99F31234-70B1-486E-B703-8671A67DF231}"/>
    <cellStyle name="20% - akcent 6 48" xfId="482" xr:uid="{BB84F6CB-0FE4-4641-A850-46947B12BDB2}"/>
    <cellStyle name="20% - akcent 6 48 2" xfId="3284" xr:uid="{C198BC07-7D9B-463D-9495-FBC2BB162D5F}"/>
    <cellStyle name="20% - akcent 6 49" xfId="483" xr:uid="{45540211-2A1A-4882-AE3A-0B0DE2B833B9}"/>
    <cellStyle name="20% - akcent 6 49 2" xfId="3264" xr:uid="{01C3D4BB-A26A-4084-9D84-80AB72732899}"/>
    <cellStyle name="20% - akcent 6 5" xfId="484" xr:uid="{F6E6227F-18E1-4B04-9131-047824B76097}"/>
    <cellStyle name="20% — akcent 6 5" xfId="485" xr:uid="{CA15E155-0ED9-4C4F-98EC-90EC9D96AE5C}"/>
    <cellStyle name="20% — akcent 6 5 2" xfId="2446" xr:uid="{EDF7D9D3-3C9A-489E-AB1C-0C99F92DF8B9}"/>
    <cellStyle name="20% - akcent 6 50" xfId="486" xr:uid="{29A7292F-B8DF-4AD9-AB5B-992B4C9958C0}"/>
    <cellStyle name="20% - akcent 6 51" xfId="487" xr:uid="{3BEB6611-1E79-47BA-8DE6-944DC34F2B85}"/>
    <cellStyle name="20% - akcent 6 52" xfId="2270" xr:uid="{40ED6BEF-89A2-4CF4-B8D5-16399A788E4F}"/>
    <cellStyle name="20% - akcent 6 6" xfId="488" xr:uid="{C1C3D9BB-7484-449C-9260-9C2ECA3ED9A1}"/>
    <cellStyle name="20% — akcent 6 6" xfId="489" xr:uid="{FD08DA3A-4718-432C-82FF-72F60E5AFB3B}"/>
    <cellStyle name="20% — akcent 6 6 2" xfId="3330" xr:uid="{A77F3009-1694-4BB4-B716-AA7DE2C4A65F}"/>
    <cellStyle name="20% - akcent 6 7" xfId="490" xr:uid="{B7CD7FA8-D02E-4D88-92B7-378D94B76EA5}"/>
    <cellStyle name="20% - akcent 6 8" xfId="491" xr:uid="{8509538E-35CA-4A3A-8AE2-33E825370C18}"/>
    <cellStyle name="20% - akcent 6 8 2" xfId="2520" xr:uid="{7629CE66-3E09-4A40-A28A-CC3384F3B061}"/>
    <cellStyle name="20% - akcent 6 9" xfId="492" xr:uid="{7B480100-7B97-4596-B4D3-4661CEE3D082}"/>
    <cellStyle name="20% - akcent 6 9 2" xfId="2619" xr:uid="{86221090-7660-4784-9C74-485C2DB68303}"/>
    <cellStyle name="20% — akcent 6_03ceny14" xfId="493" xr:uid="{3B1D471E-0E76-42E2-9E2C-3E8BC2758225}"/>
    <cellStyle name="20% - akcent 6_03ceny36" xfId="494" xr:uid="{730CD548-9454-46ED-8D25-77647503CEDD}"/>
    <cellStyle name="20% — akcent 6_03ceny39" xfId="495" xr:uid="{54065264-3EA1-419B-A6DF-C2E239225B82}"/>
    <cellStyle name="20% - akcent 6_Arkusz1" xfId="496" xr:uid="{837205A5-5BBC-4C89-9600-879296366304}"/>
    <cellStyle name="20% — akcent 6_Arkusz1" xfId="3381" xr:uid="{246359C9-2251-4680-8264-584AC1E6A672}"/>
    <cellStyle name="20% - akcent 6_dodatki" xfId="497" xr:uid="{C9E1B46D-4D61-45CB-AD1C-2E48E4743447}"/>
    <cellStyle name="20% — akcent 6_dodatki" xfId="498" xr:uid="{EA983014-D152-4AA0-A1E1-228F4A5DC7AA}"/>
    <cellStyle name="20% - akcent 6_grupy" xfId="499" xr:uid="{B4FA0F20-107C-43BE-B139-83F1F90FB32B}"/>
    <cellStyle name="20% — akcent 6_grupy" xfId="500" xr:uid="{BD28016B-070F-4D8A-ACDE-4F1BD7DA7D43}"/>
    <cellStyle name="20% - akcent 6_NFoto4" xfId="501" xr:uid="{D5502008-66A4-4BBA-86CF-9AE0CCEB538B}"/>
    <cellStyle name="20% — akcent 6_NFoto4" xfId="502" xr:uid="{FF7D46F6-7E6D-44FF-A447-8D6ED1558883}"/>
    <cellStyle name="20% - akcent 6_NVersp50" xfId="503" xr:uid="{BC8C9F65-0790-44C8-BEAD-91CEFE49098D}"/>
    <cellStyle name="20% — akcent 6_NVersp70" xfId="504" xr:uid="{671C9B83-1AD9-434C-95CA-249FDDC701BF}"/>
    <cellStyle name="20% - akcent 6_slownik" xfId="505" xr:uid="{EAD9E509-58C0-4A47-8187-8467D6E46FD6}"/>
    <cellStyle name="20% — akcent 6_slownik" xfId="506" xr:uid="{79E7D5D9-AC9D-4744-A90B-1A5DFDE581EE}"/>
    <cellStyle name="20% - akcent 6_slownik_1" xfId="507" xr:uid="{16017031-6604-46E9-9757-3840247A1EA0}"/>
    <cellStyle name="20% — akcent 6_slownik_1" xfId="508" xr:uid="{9DDDBDF9-DB51-4BB6-A4B0-5AA2F444F930}"/>
    <cellStyle name="20% - akcent 6_slownik_1_slownik" xfId="3382" xr:uid="{B34901DF-2F66-4E0A-BCF0-8DC5541039CC}"/>
    <cellStyle name="20% — akcent 6_slownik_1_slownik" xfId="3383" xr:uid="{50C1C83D-8C7D-4BB2-A35F-A09CD3C575E0}"/>
    <cellStyle name="20% - akcent 6_slownik_2" xfId="3384" xr:uid="{ACD099D3-27C7-4547-A780-6B5823A85D06}"/>
    <cellStyle name="20% — akcent 6_slownik_2" xfId="3385" xr:uid="{B4E4A994-2E07-4FC9-8F2A-E26BE8928E5D}"/>
    <cellStyle name="20% - akcent 6_slownik_slownik" xfId="3386" xr:uid="{1768D909-4625-4522-9076-A706A9BCD1E8}"/>
    <cellStyle name="20% — akcent 6_slownik_slownik" xfId="3387" xr:uid="{C77041DD-C37F-4AFA-A699-F2B6AF0B319B}"/>
    <cellStyle name="40 % - Akzent1" xfId="509" xr:uid="{0A438ABA-914A-465A-871C-DF5E93223B09}"/>
    <cellStyle name="40 % - Akzent1 2" xfId="2272" xr:uid="{24F63B58-81C3-44F5-8AFC-012C8377535F}"/>
    <cellStyle name="40 % - Akzent1_IMPORT" xfId="3388" xr:uid="{AE69DA2D-C180-4427-B23C-971DCF75308C}"/>
    <cellStyle name="40 % - Akzent2" xfId="510" xr:uid="{E6FB907A-7CB2-4F4A-82ED-EF85432D20E6}"/>
    <cellStyle name="40 % - Akzent2 2" xfId="2273" xr:uid="{70846131-D551-4BCC-B3DA-76E4395D9D8D}"/>
    <cellStyle name="40 % - Akzent2_IMPORT" xfId="3389" xr:uid="{3521CE9C-1AEE-4D34-9646-3A589F05FB8C}"/>
    <cellStyle name="40 % - Akzent3" xfId="511" xr:uid="{FA358A98-BE23-4219-BC23-49872D5F46C9}"/>
    <cellStyle name="40 % - Akzent3 2" xfId="2274" xr:uid="{8F1003A3-4826-408F-A9CC-C4F27C0B9335}"/>
    <cellStyle name="40 % - Akzent3_IMPORT" xfId="3390" xr:uid="{2F074DC6-710F-46E4-91AB-81667358E222}"/>
    <cellStyle name="40 % - Akzent4" xfId="512" xr:uid="{96DA50BB-3221-4605-B9CA-45E31C7B4128}"/>
    <cellStyle name="40 % - Akzent4 2" xfId="2275" xr:uid="{E5D23529-C9AA-4636-9309-8C74F8FC0AE7}"/>
    <cellStyle name="40 % - Akzent4_IMPORT" xfId="3391" xr:uid="{9ACEA1CC-EA82-4E1A-93BF-DC8763E0EDBD}"/>
    <cellStyle name="40 % - Akzent5" xfId="513" xr:uid="{F45B2456-5FF9-4EE8-A8A7-0C7F93B5A25D}"/>
    <cellStyle name="40 % - Akzent5 2" xfId="2276" xr:uid="{7B79AB31-1294-4AC0-9A69-3159290313D7}"/>
    <cellStyle name="40 % - Akzent5_IMPORT" xfId="3392" xr:uid="{CAF1F8EB-54AB-43A4-BCDB-2C61ACE27151}"/>
    <cellStyle name="40 % - Akzent6" xfId="514" xr:uid="{108EE502-4579-43DB-96E3-CEFE6D398883}"/>
    <cellStyle name="40 % - Akzent6 2" xfId="2277" xr:uid="{4E262382-3DE5-47B4-9013-A75B9DDF374E}"/>
    <cellStyle name="40 % - Akzent6_IMPORT" xfId="3393" xr:uid="{3BBB803B-976F-4E23-B08E-380FBE55CE71}"/>
    <cellStyle name="40% - Accent1" xfId="515" xr:uid="{98CDAEA2-DB24-4A16-8C70-907BF6F5E89A}"/>
    <cellStyle name="40% - Accent1 2" xfId="516" xr:uid="{9B79E3E9-C937-4731-82B5-446170AEB7F4}"/>
    <cellStyle name="40% - Accent1 2 2" xfId="2356" xr:uid="{4F04B80E-D169-43D4-B760-8C859BF2DE4E}"/>
    <cellStyle name="40% - Accent1 3" xfId="2355" xr:uid="{0B129A7C-8192-46AB-A51A-E3E4EB4CA66B}"/>
    <cellStyle name="40% - Accent1_def" xfId="517" xr:uid="{1BB74030-E3DD-4F08-A617-70EFEFCBDFA6}"/>
    <cellStyle name="40% - Accent2" xfId="518" xr:uid="{76774014-2E52-46CE-B30C-228BFF64F9AC}"/>
    <cellStyle name="40% - Accent2 2" xfId="519" xr:uid="{71F2592E-9682-411C-97B6-922227BDABC4}"/>
    <cellStyle name="40% - Accent2 2 2" xfId="2358" xr:uid="{A2E1F4F1-FFE6-4D77-9819-B26B8FDCA1FA}"/>
    <cellStyle name="40% - Accent2 3" xfId="2357" xr:uid="{940D3919-FE88-4B6C-9352-86ED2EEEE7EB}"/>
    <cellStyle name="40% - Accent2_def" xfId="520" xr:uid="{7AF129C2-8153-41C5-A3F5-4E49F512049B}"/>
    <cellStyle name="40% - Accent3" xfId="521" xr:uid="{2E719D71-9292-49C1-92F2-F17D4FD5BD74}"/>
    <cellStyle name="40% - Accent3 2" xfId="522" xr:uid="{9DF1D8E2-E779-4814-A48A-9C9F8871FA0E}"/>
    <cellStyle name="40% - Accent3 2 2" xfId="2360" xr:uid="{E90FF0A8-536B-4DA2-B1DB-92D5C1D638E3}"/>
    <cellStyle name="40% - Accent3 3" xfId="2359" xr:uid="{4267E6A9-F352-45E1-9F31-2498FB087B10}"/>
    <cellStyle name="40% - Accent3_def" xfId="523" xr:uid="{05BA3912-C4E9-42B3-9997-0B9183F727BA}"/>
    <cellStyle name="40% - Accent4" xfId="524" xr:uid="{F07B0F96-DED0-40E2-87DF-6205757268EC}"/>
    <cellStyle name="40% - Accent4 2" xfId="525" xr:uid="{4B902AF8-0DBF-47DE-B0A1-9E527E76832D}"/>
    <cellStyle name="40% - Accent4 2 2" xfId="2362" xr:uid="{B1F7AF3C-BB67-4933-B70A-0EE86A2CCB23}"/>
    <cellStyle name="40% - Accent4 3" xfId="2361" xr:uid="{BC354232-D492-4C33-BFE1-930C36CCC243}"/>
    <cellStyle name="40% - Accent4_def" xfId="526" xr:uid="{0228BAA2-587F-4FE0-9A3B-B4D9E68E3575}"/>
    <cellStyle name="40% - Accent5" xfId="527" xr:uid="{9D41BD71-A5A7-4713-BBAC-023CA1F35D64}"/>
    <cellStyle name="40% - Accent5 2" xfId="528" xr:uid="{26C54A4C-C9CA-4F63-B50A-1F076CCDE22E}"/>
    <cellStyle name="40% - Accent5 2 2" xfId="2364" xr:uid="{28D3FF6C-19F3-4F08-9DF2-02B28AED2667}"/>
    <cellStyle name="40% - Accent5 3" xfId="2363" xr:uid="{BF504BA5-CDA9-424C-971D-D6106483F7F5}"/>
    <cellStyle name="40% - Accent5_def" xfId="529" xr:uid="{CF12318F-FB7B-441C-B98F-833D0BBCB97E}"/>
    <cellStyle name="40% - Accent6" xfId="530" xr:uid="{6E63C93C-6DA6-413F-BD3F-333E8122B658}"/>
    <cellStyle name="40% - Accent6 2" xfId="531" xr:uid="{4B6AB367-0B52-4AF8-96C4-62D2088721BA}"/>
    <cellStyle name="40% - Accent6 2 2" xfId="2366" xr:uid="{86204EE6-48AC-4AA6-9943-E020A0B62DED}"/>
    <cellStyle name="40% - Accent6 3" xfId="2365" xr:uid="{FA3C67FB-B908-4046-BF31-551191BD3001}"/>
    <cellStyle name="40% - Accent6_def" xfId="532" xr:uid="{B82A977B-F199-48AC-8525-6E37CC2A2052}"/>
    <cellStyle name="40% - akcent 1" xfId="533" xr:uid="{FE61D556-0D18-4169-9099-653CF2195EC2}"/>
    <cellStyle name="40% — akcent 1" xfId="534" xr:uid="{A6DB877D-F764-415B-A17A-36622346FD99}"/>
    <cellStyle name="40% - akcent 1 10" xfId="535" xr:uid="{91606CBD-BC96-43D0-98C8-99E264E07AA8}"/>
    <cellStyle name="40% - akcent 1 10 2" xfId="2979" xr:uid="{38FFE202-E846-4B86-A0D8-46EB6F6F87A4}"/>
    <cellStyle name="40% - akcent 1 11" xfId="536" xr:uid="{D9476233-C77C-4E7C-A3D7-F70D8413C126}"/>
    <cellStyle name="40% - akcent 1 11 2" xfId="2838" xr:uid="{0A62AB2D-803A-4B0F-A735-E947E5D504F7}"/>
    <cellStyle name="40% - akcent 1 12" xfId="537" xr:uid="{85567279-FA94-4CA7-9E1F-BA0C8237544F}"/>
    <cellStyle name="40% - akcent 1 12 2" xfId="3065" xr:uid="{4628E41B-8590-4F6F-AB04-543E6D7C4470}"/>
    <cellStyle name="40% - akcent 1 13" xfId="538" xr:uid="{95AC9060-4DDA-43FA-939C-D450153152C2}"/>
    <cellStyle name="40% - akcent 1 13 2" xfId="2920" xr:uid="{6826928B-088B-4BBA-88B6-F613E718EFA4}"/>
    <cellStyle name="40% - akcent 1 14" xfId="539" xr:uid="{F0469452-BF13-4E71-85B3-458185CF0BBC}"/>
    <cellStyle name="40% - akcent 1 14 2" xfId="3009" xr:uid="{AB3338C7-026E-4564-B0B6-D1D086643F02}"/>
    <cellStyle name="40% - akcent 1 15" xfId="540" xr:uid="{2EB3807C-2051-455F-9443-986A13FDB31E}"/>
    <cellStyle name="40% - akcent 1 15 2" xfId="2830" xr:uid="{9D5241FB-681D-4AAC-BBD2-1EAC69B6EE40}"/>
    <cellStyle name="40% - akcent 1 16" xfId="541" xr:uid="{38667CCC-CBD4-4CC2-9A53-FCB6AB07CDA4}"/>
    <cellStyle name="40% - akcent 1 16 2" xfId="2862" xr:uid="{8CDA8ECC-01B4-42E4-B2CB-1F11E34BC53E}"/>
    <cellStyle name="40% - akcent 1 17" xfId="542" xr:uid="{B66610B2-5C86-4BEB-9529-1656DEEF939D}"/>
    <cellStyle name="40% - akcent 1 17 2" xfId="2703" xr:uid="{0E180919-BD01-4C77-88FD-E0019B3729A5}"/>
    <cellStyle name="40% - akcent 1 18" xfId="543" xr:uid="{893B280D-26B1-4F9B-ABB8-BAA574ADC699}"/>
    <cellStyle name="40% - akcent 1 18 2" xfId="3023" xr:uid="{F6889F20-A7A0-4873-8407-1F0802EAE9F4}"/>
    <cellStyle name="40% - akcent 1 19" xfId="544" xr:uid="{53086B69-E72A-4546-85FA-0E96528D20ED}"/>
    <cellStyle name="40% - akcent 1 19 2" xfId="2625" xr:uid="{CDBFB7A8-E3B9-4BCC-B656-95B99B6DA81B}"/>
    <cellStyle name="40% - akcent 1 2" xfId="545" xr:uid="{D77EB3A4-77F9-4AEE-9B14-F670AA97D1EC}"/>
    <cellStyle name="40% — akcent 1 2" xfId="546" xr:uid="{34264C6E-F7D8-4179-B4EA-30D95FCBEFBB}"/>
    <cellStyle name="40% - akcent 1 2 2" xfId="547" xr:uid="{B8688A11-213B-4F86-99B2-7F777648125D}"/>
    <cellStyle name="40% — akcent 1 2 2" xfId="2367" xr:uid="{66A2BAEE-04CE-4988-B0AB-31142D685EA0}"/>
    <cellStyle name="40% - akcent 1 2 2 2" xfId="2472" xr:uid="{9E131CFF-E829-49C4-AB05-1B903C6EBBCD}"/>
    <cellStyle name="40% - akcent 1 2 3" xfId="548" xr:uid="{1427E0FF-DC31-404C-BA7B-A34158E1C498}"/>
    <cellStyle name="40% - akcent 1 2 3 2" xfId="2449" xr:uid="{60DBA539-131D-4EEA-9CAD-738E4B6ED230}"/>
    <cellStyle name="40% - akcent 1 2 4" xfId="2279" xr:uid="{26FE2FA2-037F-4914-84C7-9D7D8A04A77F}"/>
    <cellStyle name="40% - akcent 1 2_IMPORT" xfId="549" xr:uid="{1ABBFDAC-B7FF-4840-9831-57C7E9BFD78D}"/>
    <cellStyle name="40% — akcent 1 2_IMPORT" xfId="550" xr:uid="{8DE2DBE0-315E-4DED-8463-0B0BDC498E23}"/>
    <cellStyle name="40% - akcent 1 20" xfId="551" xr:uid="{2E980C8D-E3A7-49CE-86CC-F83DFC67FE47}"/>
    <cellStyle name="40% - akcent 1 20 2" xfId="2779" xr:uid="{056EFE76-CEDF-41BD-92C1-23CFD323F86F}"/>
    <cellStyle name="40% - akcent 1 21" xfId="552" xr:uid="{12465967-C619-4CA3-B9FB-43421CF5658F}"/>
    <cellStyle name="40% - akcent 1 21 2" xfId="2728" xr:uid="{C57EE430-C65A-4652-99C6-E9786E6A18D8}"/>
    <cellStyle name="40% - akcent 1 22" xfId="553" xr:uid="{068CFD02-3816-43F4-91CB-1DE121224717}"/>
    <cellStyle name="40% - akcent 1 22 2" xfId="2750" xr:uid="{EB585762-1721-43A0-A0FF-27F3CD0A8F78}"/>
    <cellStyle name="40% - akcent 1 23" xfId="554" xr:uid="{A06BDFEB-DCCD-49BD-A219-273595EB4FEE}"/>
    <cellStyle name="40% - akcent 1 23 2" xfId="2877" xr:uid="{BE075F04-E7F1-4AD9-B91C-473559C117AE}"/>
    <cellStyle name="40% - akcent 1 24" xfId="555" xr:uid="{2C116CC9-D355-4C82-9E00-07E8EDEB73F5}"/>
    <cellStyle name="40% - akcent 1 24 2" xfId="2994" xr:uid="{D4BF62DA-221C-4A9E-AC8E-14D275C85BEC}"/>
    <cellStyle name="40% - akcent 1 25" xfId="556" xr:uid="{9A0CD668-2CC7-48D9-9C4D-D5F14E1815F5}"/>
    <cellStyle name="40% - akcent 1 25 2" xfId="2926" xr:uid="{961BE28A-AC7A-4BB8-9805-92D5FBFE5EAA}"/>
    <cellStyle name="40% - akcent 1 26" xfId="557" xr:uid="{CD11329D-C7C1-41F3-85FF-94E65A089CCA}"/>
    <cellStyle name="40% - akcent 1 26 2" xfId="3007" xr:uid="{88E672F7-77CB-442B-9E47-28E766001F44}"/>
    <cellStyle name="40% - akcent 1 27" xfId="558" xr:uid="{099B7A44-E3F4-40DB-839C-71424C190088}"/>
    <cellStyle name="40% - akcent 1 27 2" xfId="2631" xr:uid="{73CE60C6-62A6-4385-A8DE-7E69A029D865}"/>
    <cellStyle name="40% - akcent 1 28" xfId="559" xr:uid="{38CC531B-A94C-4E48-9B4F-5A72DE609A41}"/>
    <cellStyle name="40% - akcent 1 28 2" xfId="2897" xr:uid="{076E5963-F8AD-4E5B-8330-8B57400AB397}"/>
    <cellStyle name="40% - akcent 1 29" xfId="560" xr:uid="{FBA68620-11BA-40F2-A02B-8EDE56C3D025}"/>
    <cellStyle name="40% - akcent 1 29 2" xfId="3102" xr:uid="{64E2DDC9-29F2-420B-B3A6-160C3B34CD99}"/>
    <cellStyle name="40% - akcent 1 3" xfId="561" xr:uid="{5036C0E8-D45B-4C73-BB90-0B7B9D5FF7B7}"/>
    <cellStyle name="40% — akcent 1 3" xfId="562" xr:uid="{F4FA68C5-A33E-46BF-9929-27810E822F71}"/>
    <cellStyle name="40% — akcent 1 3 2" xfId="2427" xr:uid="{EF62EE5C-3E38-47A5-BF95-EE88987DAA66}"/>
    <cellStyle name="40% - akcent 1 30" xfId="563" xr:uid="{2810F30B-FF45-4A9D-9B1A-9A51CB58842B}"/>
    <cellStyle name="40% - akcent 1 30 2" xfId="2589" xr:uid="{3680DB69-4326-4CF5-A158-BA49CB513F3A}"/>
    <cellStyle name="40% - akcent 1 31" xfId="564" xr:uid="{A39225E3-3C0C-4962-B6F5-EB9B32EEB082}"/>
    <cellStyle name="40% - akcent 1 31 2" xfId="3088" xr:uid="{B791E1A4-C029-42CE-A9EB-8EAD1A5A3B7C}"/>
    <cellStyle name="40% - akcent 1 32" xfId="565" xr:uid="{D2087315-787A-4277-A9D4-EE458640298E}"/>
    <cellStyle name="40% - akcent 1 32 2" xfId="2912" xr:uid="{7C5284A7-89BB-4FE5-85D3-34AA732CBAE5}"/>
    <cellStyle name="40% - akcent 1 33" xfId="566" xr:uid="{CFEDD3A2-8988-4B13-B6BA-2289CD124154}"/>
    <cellStyle name="40% - akcent 1 33 2" xfId="3116" xr:uid="{4337D96F-131A-4846-AF3E-1753C23250F4}"/>
    <cellStyle name="40% - akcent 1 34" xfId="567" xr:uid="{F5EDFFDD-3C56-4832-9C6B-6D7D06F39B9B}"/>
    <cellStyle name="40% - akcent 1 34 2" xfId="3122" xr:uid="{AF407275-B6BC-4A12-A309-00CDDBBE45B9}"/>
    <cellStyle name="40% - akcent 1 35" xfId="568" xr:uid="{624318A2-E472-4881-950B-7E8F0B668F81}"/>
    <cellStyle name="40% - akcent 1 35 2" xfId="3128" xr:uid="{760BF769-FF3F-43A7-85E9-00D0373EF2B6}"/>
    <cellStyle name="40% - akcent 1 36" xfId="569" xr:uid="{16E65629-B404-4AD3-B2A9-D9801C37CEDF}"/>
    <cellStyle name="40% - akcent 1 36 2" xfId="3133" xr:uid="{784C6478-EB35-475F-BCCB-895C423ED5AD}"/>
    <cellStyle name="40% - akcent 1 37" xfId="570" xr:uid="{02C8EFF5-7209-4DAB-91C4-D00EA87A9FA5}"/>
    <cellStyle name="40% - akcent 1 37 2" xfId="3138" xr:uid="{C8AAC111-D5D9-4C35-A19F-5DADF15B8C3A}"/>
    <cellStyle name="40% - akcent 1 38" xfId="571" xr:uid="{003B4F10-4191-4670-B5EC-B9C33F1B05D4}"/>
    <cellStyle name="40% - akcent 1 38 2" xfId="3143" xr:uid="{6C6A3BB9-DC6F-4E34-841F-AE6B88E9A9C4}"/>
    <cellStyle name="40% - akcent 1 39" xfId="572" xr:uid="{5342BA6C-4873-4303-A583-BB1C92C3856A}"/>
    <cellStyle name="40% - akcent 1 39 2" xfId="3148" xr:uid="{12B51F70-45DC-4320-AB3D-FBD8156D713F}"/>
    <cellStyle name="40% - akcent 1 4" xfId="573" xr:uid="{96FF0F2B-36EE-41DD-92CA-E6DDCBF4E1D4}"/>
    <cellStyle name="40% — akcent 1 4" xfId="574" xr:uid="{A1014B01-5B2E-4EB8-B2C3-EB5E61A88EA6}"/>
    <cellStyle name="40% — akcent 1 4 2" xfId="575" xr:uid="{FA5A379C-0867-498B-AF1F-255BFB62E0C8}"/>
    <cellStyle name="40% — akcent 1 4 3" xfId="2399" xr:uid="{BAE1D847-CE50-4706-8946-11397463265D}"/>
    <cellStyle name="40% — akcent 1 4_IMPORT" xfId="576" xr:uid="{3B0FB2D3-88B5-44CF-9138-866A57F5BB22}"/>
    <cellStyle name="40% - akcent 1 40" xfId="577" xr:uid="{746BDFA1-C1AB-4724-8DA8-0D0EFE27926B}"/>
    <cellStyle name="40% - akcent 1 40 2" xfId="3153" xr:uid="{0C9A6115-E8F9-4805-B991-5E6E5C6479CF}"/>
    <cellStyle name="40% - akcent 1 41" xfId="578" xr:uid="{7336FB36-3C47-4293-8C24-3C4DD26F59B1}"/>
    <cellStyle name="40% - akcent 1 41 2" xfId="3158" xr:uid="{157CA273-B054-4031-B0BE-25E333A444B3}"/>
    <cellStyle name="40% - akcent 1 42" xfId="579" xr:uid="{EB97965D-BC4B-4C6F-A7F7-326EABA0C67D}"/>
    <cellStyle name="40% - akcent 1 42 2" xfId="3163" xr:uid="{2E176B7A-1A06-4710-BD41-FA4CD5E351E7}"/>
    <cellStyle name="40% - akcent 1 43" xfId="580" xr:uid="{C1F3FFC1-7286-4D7C-B2BE-F7854F4B4923}"/>
    <cellStyle name="40% - akcent 1 43 2" xfId="3167" xr:uid="{2A365F54-8762-45B2-87BA-31C8BB3D9453}"/>
    <cellStyle name="40% - akcent 1 44" xfId="581" xr:uid="{3DEA58CF-5376-4183-B259-DCE583E2D73C}"/>
    <cellStyle name="40% - akcent 1 44 2" xfId="3223" xr:uid="{6055704D-4762-4E72-85A3-DB76B95CFC28}"/>
    <cellStyle name="40% - akcent 1 45" xfId="582" xr:uid="{E876F187-072A-4597-8802-428B72224EB2}"/>
    <cellStyle name="40% - akcent 1 45 2" xfId="3267" xr:uid="{9347149F-E2A5-4549-9499-23C93C19B832}"/>
    <cellStyle name="40% - akcent 1 46" xfId="583" xr:uid="{70207713-7EE8-4078-AA1F-CC3CF465348B}"/>
    <cellStyle name="40% - akcent 1 46 2" xfId="3256" xr:uid="{51D6C210-03C2-4A28-B090-AFA722F04224}"/>
    <cellStyle name="40% - akcent 1 47" xfId="584" xr:uid="{A6079099-B4D8-4333-8D27-1DAFBED36EE1}"/>
    <cellStyle name="40% - akcent 1 47 2" xfId="3280" xr:uid="{83E39AFB-ABCE-4AF7-AC12-A01CABB04B75}"/>
    <cellStyle name="40% - akcent 1 48" xfId="585" xr:uid="{94BD1F99-0536-4813-9A03-7D92218187A5}"/>
    <cellStyle name="40% - akcent 1 48 2" xfId="3276" xr:uid="{980180DE-B515-474A-9380-3CBE15996183}"/>
    <cellStyle name="40% - akcent 1 49" xfId="586" xr:uid="{E981F8AE-2592-4B72-A1EE-E8D0649C2D52}"/>
    <cellStyle name="40% - akcent 1 49 2" xfId="3243" xr:uid="{4BA47CF5-3D7E-4581-83BD-B58419A96976}"/>
    <cellStyle name="40% - akcent 1 5" xfId="587" xr:uid="{4346BF10-5447-4959-A5AB-AEC15FE3668D}"/>
    <cellStyle name="40% — akcent 1 5" xfId="588" xr:uid="{2D62223C-7A84-4EF4-87DB-36279EF3BC68}"/>
    <cellStyle name="40% — akcent 1 5 2" xfId="589" xr:uid="{D25A262C-C6AA-41FB-A712-03663187D8A7}"/>
    <cellStyle name="40% — akcent 1 5 3" xfId="2448" xr:uid="{5A656BC5-86E1-4DA5-8DA1-08A94A0B2BF5}"/>
    <cellStyle name="40% — akcent 1 5_IMPORT" xfId="590" xr:uid="{D94C6E26-EFE5-415C-B1EC-107043146DD8}"/>
    <cellStyle name="40% - akcent 1 50" xfId="591" xr:uid="{4C6430F0-7693-4DE5-BD08-BA4F07F4D81F}"/>
    <cellStyle name="40% - akcent 1 51" xfId="592" xr:uid="{3F964E55-2446-4767-9FA4-D24E3A0CD632}"/>
    <cellStyle name="40% - akcent 1 52" xfId="2278" xr:uid="{C9C45354-3782-4101-A7E2-876997DA3379}"/>
    <cellStyle name="40% - akcent 1 6" xfId="593" xr:uid="{07E54399-0482-4AE6-A1B0-142446965534}"/>
    <cellStyle name="40% — akcent 1 6" xfId="594" xr:uid="{8252BEDC-B80D-4849-A21F-B654AA10AF6D}"/>
    <cellStyle name="40% — akcent 1 6 2" xfId="3331" xr:uid="{6685A8A3-C7C3-4590-9D77-6098666B96D8}"/>
    <cellStyle name="40% - akcent 1 7" xfId="595" xr:uid="{FAE26FE9-0A58-4B5E-B020-52B51DB72EC8}"/>
    <cellStyle name="40% - akcent 1 8" xfId="596" xr:uid="{051ACE7A-F479-4E96-95F4-524E3540B48D}"/>
    <cellStyle name="40% - akcent 1 8 2" xfId="2521" xr:uid="{240DDC5D-D275-4CD0-8B38-29D57460BB33}"/>
    <cellStyle name="40% - akcent 1 9" xfId="597" xr:uid="{76B28CE8-A9C0-43D8-ADD9-D63FDE0A13D3}"/>
    <cellStyle name="40% - akcent 1 9 2" xfId="2630" xr:uid="{7CD787E3-D34B-4A2A-9D78-A063FE4C8D36}"/>
    <cellStyle name="40% — akcent 1_03ceny14" xfId="598" xr:uid="{A24541D4-3DE9-41AA-8EDA-89DA588AABCB}"/>
    <cellStyle name="40% - akcent 1_03ceny36" xfId="599" xr:uid="{64481260-3ACE-41F5-8281-1F9F7767669A}"/>
    <cellStyle name="40% — akcent 1_03ceny39" xfId="600" xr:uid="{A3EA0A30-7A9F-40EB-972E-C91CDAEF1B0E}"/>
    <cellStyle name="40% - akcent 1_Arkusz1" xfId="601" xr:uid="{08068C5B-C5E1-4AC5-B8BB-9E3BFDAD366E}"/>
    <cellStyle name="40% — akcent 1_Arkusz1" xfId="3394" xr:uid="{06A6E6CE-EC91-4B52-8F8F-7C8C4C4E8670}"/>
    <cellStyle name="40% - akcent 1_dodatki" xfId="602" xr:uid="{B5BDA6FF-1897-4389-89B0-D71F6C4548EE}"/>
    <cellStyle name="40% — akcent 1_dodatki" xfId="603" xr:uid="{F4FDC340-1151-4F3E-93B4-3826C8547F35}"/>
    <cellStyle name="40% - akcent 1_grupy" xfId="604" xr:uid="{75230759-CA32-4BF4-8B2D-ADA42D3A7FED}"/>
    <cellStyle name="40% — akcent 1_grupy" xfId="605" xr:uid="{ED80617D-72DA-442A-96B6-BAEC5F35D1EA}"/>
    <cellStyle name="40% - akcent 1_NFoto4" xfId="606" xr:uid="{EA1985D5-2B90-4D8E-9801-5AD391EE2EF1}"/>
    <cellStyle name="40% — akcent 1_NFoto4" xfId="607" xr:uid="{2E975DE2-70BB-4772-B8F3-098ABFFA7FCC}"/>
    <cellStyle name="40% - akcent 1_slownik" xfId="608" xr:uid="{55117863-499C-4C8E-82B1-1C3C48BCD9CA}"/>
    <cellStyle name="40% — akcent 1_slownik" xfId="609" xr:uid="{5D950C9A-79F8-4194-83BE-FED1263602C3}"/>
    <cellStyle name="40% - akcent 1_slownik_1" xfId="610" xr:uid="{CABA051D-D3E0-4243-8E5C-C2ACE5908D56}"/>
    <cellStyle name="40% — akcent 1_slownik_1" xfId="611" xr:uid="{318C9EE9-1760-4FA4-BFF3-3B93940AEFCD}"/>
    <cellStyle name="40% - akcent 1_slownik_1_slownik" xfId="3395" xr:uid="{0FD8C8B8-6DA9-464B-AAE4-4B997B44D293}"/>
    <cellStyle name="40% — akcent 1_slownik_1_slownik" xfId="3396" xr:uid="{54FB204F-1D8E-48E8-9377-DC0ACE2FA655}"/>
    <cellStyle name="40% - akcent 1_slownik_2" xfId="3397" xr:uid="{43C23550-13AF-45B4-A728-4BD38AC27C28}"/>
    <cellStyle name="40% — akcent 1_slownik_2" xfId="3398" xr:uid="{F9ED4599-9DA0-470E-9F05-769EE56D530D}"/>
    <cellStyle name="40% - akcent 1_slownik_slownik" xfId="3399" xr:uid="{CDFDFB36-0E0F-46F8-B409-D3241810BD80}"/>
    <cellStyle name="40% — akcent 1_slownik_slownik" xfId="3400" xr:uid="{72B19B73-C68A-415A-A21C-D2487A6B96CA}"/>
    <cellStyle name="40% - akcent 2" xfId="612" xr:uid="{9C90C3EF-D33C-4CFB-9048-D4C59555F927}"/>
    <cellStyle name="40% — akcent 2" xfId="613" xr:uid="{54C6770E-8420-4BCD-8144-AF5B328E3C18}"/>
    <cellStyle name="40% - akcent 2 10" xfId="614" xr:uid="{53DFD347-A781-45F4-9296-336579DA7AB1}"/>
    <cellStyle name="40% - akcent 2 10 2" xfId="3109" xr:uid="{14F24F60-EC9D-4861-8F4D-EC98084E0016}"/>
    <cellStyle name="40% - akcent 2 11" xfId="615" xr:uid="{5110DEF9-05A2-450F-B6D8-E9432549E891}"/>
    <cellStyle name="40% - akcent 2 11 2" xfId="2587" xr:uid="{7F87B935-FBFE-465B-A281-77211AC19E37}"/>
    <cellStyle name="40% - akcent 2 12" xfId="616" xr:uid="{3EACFB1A-8804-4847-A273-CE4CDB997A8B}"/>
    <cellStyle name="40% - akcent 2 12 2" xfId="2905" xr:uid="{7C452807-FA85-4DB6-913D-D38C66FF5A77}"/>
    <cellStyle name="40% - akcent 2 13" xfId="617" xr:uid="{1B5E3A86-C1D5-4840-A32F-031C06D74CD5}"/>
    <cellStyle name="40% - akcent 2 13 2" xfId="2935" xr:uid="{27461430-5785-459A-A30C-D151E6224D21}"/>
    <cellStyle name="40% - akcent 2 14" xfId="618" xr:uid="{01DFAB15-BB35-455D-A709-370C8923243D}"/>
    <cellStyle name="40% - akcent 2 14 2" xfId="3006" xr:uid="{9051EBB5-13EE-4E0F-ACA0-BB6B83A1CB45}"/>
    <cellStyle name="40% - akcent 2 15" xfId="619" xr:uid="{20379701-E2AB-4587-9350-EE05C40DD65C}"/>
    <cellStyle name="40% - akcent 2 15 2" xfId="2832" xr:uid="{68FA3C4F-2CEE-4BEE-B9BD-9386DDA39132}"/>
    <cellStyle name="40% - akcent 2 16" xfId="620" xr:uid="{C6F6A25D-BC35-4979-9CB3-B2127D02331D}"/>
    <cellStyle name="40% - akcent 2 16 2" xfId="2950" xr:uid="{E792F9A3-168E-4F12-8D8C-FF6473F6BBE6}"/>
    <cellStyle name="40% - akcent 2 17" xfId="621" xr:uid="{182FA0B4-DCA8-4268-8209-64B0FB16277F}"/>
    <cellStyle name="40% - akcent 2 17 2" xfId="2660" xr:uid="{845DED5B-9687-4A47-B256-646B599C459A}"/>
    <cellStyle name="40% - akcent 2 18" xfId="622" xr:uid="{A3879F95-61E3-4B4C-AD8B-A8E1351BC4E2}"/>
    <cellStyle name="40% - akcent 2 18 2" xfId="2989" xr:uid="{2F1E4C19-D297-4355-9A94-96573E41A291}"/>
    <cellStyle name="40% - akcent 2 19" xfId="623" xr:uid="{4A2D1E87-8E87-4B71-90B2-C4404B1DD9EE}"/>
    <cellStyle name="40% - akcent 2 19 2" xfId="2637" xr:uid="{DB7E439E-B8F8-4037-B24C-EE65B35E5CF0}"/>
    <cellStyle name="40% - akcent 2 2" xfId="624" xr:uid="{0221AD14-67FE-434F-9A76-6564C45348CE}"/>
    <cellStyle name="40% — akcent 2 2" xfId="625" xr:uid="{676D31CA-7AE2-4E29-B0F6-1A262E120416}"/>
    <cellStyle name="40% - akcent 2 2 2" xfId="2281" xr:uid="{C364741C-9894-46B6-9523-E299E890621B}"/>
    <cellStyle name="40% — akcent 2 2 2" xfId="2368" xr:uid="{E0F58418-9EBE-40BD-A9EC-E98A98C8D9A0}"/>
    <cellStyle name="40% - akcent 2 2_IMPORT" xfId="626" xr:uid="{392DF849-BBEE-496B-9E19-B453E5376D1B}"/>
    <cellStyle name="40% — akcent 2 2_IMPORT" xfId="627" xr:uid="{328397B7-7BAF-44A9-B1D1-BD00D640C608}"/>
    <cellStyle name="40% - akcent 2 20" xfId="628" xr:uid="{2D111F07-D645-47E6-ADDE-9B1E8F920031}"/>
    <cellStyle name="40% - akcent 2 20 2" xfId="3026" xr:uid="{5B736D2D-3810-4443-9A99-851A92EA2ACA}"/>
    <cellStyle name="40% - akcent 2 21" xfId="629" xr:uid="{CD5A5A05-75B5-4875-807F-BBEEB87A0C2D}"/>
    <cellStyle name="40% - akcent 2 21 2" xfId="2923" xr:uid="{B6C9EDB0-FC70-4BBD-BAD5-5B8627DB8910}"/>
    <cellStyle name="40% - akcent 2 22" xfId="630" xr:uid="{F5890315-955D-49AB-9D66-8594C8AABC34}"/>
    <cellStyle name="40% - akcent 2 22 2" xfId="2673" xr:uid="{A2C68ED5-4A2D-4200-8DE3-09398D07E56D}"/>
    <cellStyle name="40% - akcent 2 23" xfId="631" xr:uid="{A75BA586-548A-4157-A4E1-562FB9AC9DD9}"/>
    <cellStyle name="40% - akcent 2 23 2" xfId="2767" xr:uid="{CC0ADA6E-B6FC-453F-8356-B9815044FB29}"/>
    <cellStyle name="40% - akcent 2 24" xfId="632" xr:uid="{C8868E99-097C-425F-A946-A4F6A4834076}"/>
    <cellStyle name="40% - akcent 2 24 2" xfId="2875" xr:uid="{9CB2056E-C59E-4C57-BE6B-D0208274B14B}"/>
    <cellStyle name="40% - akcent 2 25" xfId="633" xr:uid="{488DDA14-97A6-49C2-990F-D3B9E0514F49}"/>
    <cellStyle name="40% - akcent 2 25 2" xfId="3115" xr:uid="{8F363B08-9D1B-4AB1-9F45-168118B22388}"/>
    <cellStyle name="40% - akcent 2 26" xfId="634" xr:uid="{EC79C8BD-7BAB-4B42-A28D-A30AC89DEBD9}"/>
    <cellStyle name="40% - akcent 2 26 2" xfId="3121" xr:uid="{DFC7A417-D520-47B8-84AE-CA0258C792EA}"/>
    <cellStyle name="40% - akcent 2 27" xfId="635" xr:uid="{73072349-D9ED-4B0D-B407-CB5200663B7E}"/>
    <cellStyle name="40% - akcent 2 27 2" xfId="3127" xr:uid="{6E89AE50-1C0F-46A4-BE82-941E69C9CB54}"/>
    <cellStyle name="40% - akcent 2 28" xfId="636" xr:uid="{9228AA96-5E05-40A4-823B-93EBA79A4B7B}"/>
    <cellStyle name="40% - akcent 2 28 2" xfId="3132" xr:uid="{1E6F7682-8190-4017-83CD-32F908238F6B}"/>
    <cellStyle name="40% - akcent 2 29" xfId="637" xr:uid="{3257C598-5A8E-4C75-B1DC-3EC63F59FB72}"/>
    <cellStyle name="40% - akcent 2 29 2" xfId="3137" xr:uid="{523EC64C-CE5B-4C72-8869-37DA1F7C6269}"/>
    <cellStyle name="40% - akcent 2 3" xfId="638" xr:uid="{8BFA7242-B3F8-4617-B6A7-B0EF71710F2F}"/>
    <cellStyle name="40% — akcent 2 3" xfId="639" xr:uid="{F5B14ABE-CEDC-41B0-A7F3-AB29409F771D}"/>
    <cellStyle name="40% — akcent 2 3 2" xfId="2428" xr:uid="{04D060E3-F583-4955-8B12-4D53EE6FDFEA}"/>
    <cellStyle name="40% - akcent 2 30" xfId="640" xr:uid="{C494495B-C4BF-4A82-8D15-B5D9B23D13AB}"/>
    <cellStyle name="40% - akcent 2 30 2" xfId="3142" xr:uid="{9A9163DC-5099-4FBE-9E52-AA3B03C598D0}"/>
    <cellStyle name="40% - akcent 2 31" xfId="641" xr:uid="{87DC68F8-AFC8-4769-B7F3-3B45336A551F}"/>
    <cellStyle name="40% - akcent 2 31 2" xfId="3147" xr:uid="{4A57964A-6A1B-4BAC-BE92-91D1734D4524}"/>
    <cellStyle name="40% - akcent 2 32" xfId="642" xr:uid="{887E573F-0CFE-4EDF-B273-BA25C8C6B431}"/>
    <cellStyle name="40% - akcent 2 32 2" xfId="3152" xr:uid="{7CE952F0-050B-47AE-BD8F-09634B1A5055}"/>
    <cellStyle name="40% - akcent 2 33" xfId="643" xr:uid="{AFAAA953-8481-43E0-A133-C69DC2D9743C}"/>
    <cellStyle name="40% - akcent 2 33 2" xfId="3157" xr:uid="{7779B345-3AF4-4DA0-A73C-CC6FCEF56F1B}"/>
    <cellStyle name="40% - akcent 2 34" xfId="644" xr:uid="{DC132F28-5A20-4C8B-9035-ABF24A1B57E9}"/>
    <cellStyle name="40% - akcent 2 34 2" xfId="3162" xr:uid="{469C32D7-A709-4108-8FEE-88B9471750D9}"/>
    <cellStyle name="40% - akcent 2 35" xfId="645" xr:uid="{9096040F-2250-4792-BC5F-5F53CEDC2589}"/>
    <cellStyle name="40% - akcent 2 35 2" xfId="3166" xr:uid="{CEF3E876-524E-4AA1-930A-99961535036F}"/>
    <cellStyle name="40% - akcent 2 36" xfId="646" xr:uid="{EFE37F13-C7E3-4297-8E7C-BD4502D15EEB}"/>
    <cellStyle name="40% - akcent 2 36 2" xfId="3170" xr:uid="{9ADC7672-6150-4010-938F-7465787C91A9}"/>
    <cellStyle name="40% - akcent 2 37" xfId="647" xr:uid="{ACF7145B-28FD-4DD6-A8D6-1ADDA53507DF}"/>
    <cellStyle name="40% - akcent 2 37 2" xfId="3173" xr:uid="{14F240EB-E75F-45EF-8019-43BD400E00C3}"/>
    <cellStyle name="40% - akcent 2 38" xfId="648" xr:uid="{BA4AA1DB-6BFC-487D-B0C8-2267703A6D66}"/>
    <cellStyle name="40% - akcent 2 38 2" xfId="3176" xr:uid="{CA940DBE-D2D2-41D4-8326-40216BCC50D9}"/>
    <cellStyle name="40% - akcent 2 39" xfId="649" xr:uid="{C7E64A98-8C81-471C-A4EE-E57EB57F0FAD}"/>
    <cellStyle name="40% - akcent 2 39 2" xfId="3179" xr:uid="{5F2F2152-DCF1-49F6-972B-7F99C40462BB}"/>
    <cellStyle name="40% - akcent 2 4" xfId="650" xr:uid="{6F7B4A4F-153B-4215-B261-D70044003B9F}"/>
    <cellStyle name="40% — akcent 2 4" xfId="651" xr:uid="{65610355-986E-4964-8263-CEF667ACA6DD}"/>
    <cellStyle name="40% — akcent 2 4 2" xfId="2400" xr:uid="{1A379FA3-3FDF-4C20-8450-6E1779C8AEFD}"/>
    <cellStyle name="40% - akcent 2 40" xfId="652" xr:uid="{D87B703B-B0F0-4D63-897D-1AE4D18BA06A}"/>
    <cellStyle name="40% - akcent 2 40 2" xfId="3182" xr:uid="{9B11A81D-667D-4123-8B69-24C7BE7ADA7C}"/>
    <cellStyle name="40% - akcent 2 41" xfId="653" xr:uid="{E4B54EF0-0537-4002-A1A7-D2FA77CA5519}"/>
    <cellStyle name="40% - akcent 2 41 2" xfId="3185" xr:uid="{572FE2A7-4AC9-4CB9-BDD1-1BC7BC185ACA}"/>
    <cellStyle name="40% - akcent 2 42" xfId="654" xr:uid="{0072ACBC-E133-4DD1-AFCD-F578EC197F58}"/>
    <cellStyle name="40% - akcent 2 42 2" xfId="3188" xr:uid="{10B5B1AB-4933-4185-8BF7-DA8630554D21}"/>
    <cellStyle name="40% - akcent 2 43" xfId="655" xr:uid="{FA7AEB18-B55D-4F32-B858-707E8A20A376}"/>
    <cellStyle name="40% - akcent 2 43 2" xfId="3191" xr:uid="{07F5D332-52B8-4DF9-AA5B-0B7200C2AEB8}"/>
    <cellStyle name="40% - akcent 2 44" xfId="656" xr:uid="{2986A92C-6B02-461D-B09C-8242E8D2E678}"/>
    <cellStyle name="40% - akcent 2 44 2" xfId="3224" xr:uid="{708ECE3B-C51E-4115-8563-F83221CE4855}"/>
    <cellStyle name="40% - akcent 2 45" xfId="657" xr:uid="{06F77F37-9C0E-4249-9FA7-3B5F626EB464}"/>
    <cellStyle name="40% - akcent 2 45 2" xfId="3299" xr:uid="{F2893E20-48B4-47B9-915E-E6F6457D6ECC}"/>
    <cellStyle name="40% - akcent 2 46" xfId="658" xr:uid="{DBECE2B2-0018-4BA1-A35C-B03FBB41B235}"/>
    <cellStyle name="40% - akcent 2 46 2" xfId="3317" xr:uid="{35A53E1D-147D-4EF3-9D3A-8C362F478D83}"/>
    <cellStyle name="40% - akcent 2 47" xfId="659" xr:uid="{A7E63888-1170-496B-9FFA-4A3E62678731}"/>
    <cellStyle name="40% - akcent 2 47 2" xfId="3308" xr:uid="{4B153835-B09E-427A-86A8-9397AB37A123}"/>
    <cellStyle name="40% - akcent 2 48" xfId="660" xr:uid="{70D9F4EC-BC32-46B7-848E-3084640B2D69}"/>
    <cellStyle name="40% - akcent 2 48 2" xfId="3319" xr:uid="{D048BE16-1E64-4034-9A8A-193A364585BF}"/>
    <cellStyle name="40% - akcent 2 49" xfId="661" xr:uid="{D4ED1416-AACD-4895-B7F3-FCD38E0C028A}"/>
    <cellStyle name="40% - akcent 2 49 2" xfId="3257" xr:uid="{628D2D6D-6091-465D-9784-2C2E221B4F22}"/>
    <cellStyle name="40% - akcent 2 5" xfId="662" xr:uid="{03FE5BED-3B36-4D17-A58A-EC9AF631A387}"/>
    <cellStyle name="40% — akcent 2 5" xfId="663" xr:uid="{FC4C2402-35B5-4158-A520-303CD96D8907}"/>
    <cellStyle name="40% — akcent 2 5 2" xfId="2450" xr:uid="{ACB37321-5552-49DE-8AD4-6113936D2B73}"/>
    <cellStyle name="40% - akcent 2 50" xfId="664" xr:uid="{E398BBDB-924D-427E-9DEA-03A46908FCB4}"/>
    <cellStyle name="40% - akcent 2 51" xfId="665" xr:uid="{554624C5-24AA-4856-82C5-0722D24C4BAA}"/>
    <cellStyle name="40% - akcent 2 52" xfId="2280" xr:uid="{A7096BFB-5C54-4CD5-BC30-4BF2A7D3F5E1}"/>
    <cellStyle name="40% - akcent 2 6" xfId="666" xr:uid="{EC1524AA-33CC-48C8-A889-D8AD59B6B2A1}"/>
    <cellStyle name="40% — akcent 2 6" xfId="667" xr:uid="{174BBC28-D543-43E9-B5F0-3F9B8537F48D}"/>
    <cellStyle name="40% — akcent 2 6 2" xfId="3332" xr:uid="{3932DAC6-4470-4D8C-840C-D2DDB61DB339}"/>
    <cellStyle name="40% - akcent 2 7" xfId="668" xr:uid="{B8FBCA44-C5BF-4265-B39E-05E195F2EED2}"/>
    <cellStyle name="40% - akcent 2 8" xfId="669" xr:uid="{FB14AEAB-858E-4593-B0E9-FFA86B9B0F15}"/>
    <cellStyle name="40% - akcent 2 8 2" xfId="2522" xr:uid="{767AEFAA-BAD6-4712-AA13-366F884B6101}"/>
    <cellStyle name="40% - akcent 2 9" xfId="670" xr:uid="{89C58405-4B7E-47B5-8099-4C8FD9CC912F}"/>
    <cellStyle name="40% - akcent 2 9 2" xfId="2633" xr:uid="{CE0C72D7-8D48-4288-B173-84A14A8390F6}"/>
    <cellStyle name="40% — akcent 2_03ceny14" xfId="671" xr:uid="{EDF7ED5D-0C36-4815-83B9-5D14FB9C7C85}"/>
    <cellStyle name="40% - akcent 2_03ceny36" xfId="672" xr:uid="{7751A2B7-9A65-42B4-8DC4-06F768BA9D94}"/>
    <cellStyle name="40% — akcent 2_03ceny39" xfId="673" xr:uid="{EA40C2D1-370A-48A8-8A1E-5601BEDBBC05}"/>
    <cellStyle name="40% - akcent 2_Arkusz1" xfId="674" xr:uid="{92101D4E-68CC-4A42-8AA6-8AD05E2CAD0E}"/>
    <cellStyle name="40% — akcent 2_Arkusz1" xfId="3401" xr:uid="{4626946D-3C3E-4AC2-B55B-CF2FB4496A01}"/>
    <cellStyle name="40% - akcent 2_dodatki" xfId="675" xr:uid="{DA143265-2EEB-450E-81B0-AE74A91226FC}"/>
    <cellStyle name="40% — akcent 2_dodatki" xfId="676" xr:uid="{37EA8657-098A-478E-8CDC-4F7E15A8E8F5}"/>
    <cellStyle name="40% - akcent 2_grupy" xfId="677" xr:uid="{C1417C32-AC07-447C-B7A1-36E77F61565B}"/>
    <cellStyle name="40% — akcent 2_grupy" xfId="678" xr:uid="{1991CE5B-729B-4ED2-8AD9-3672167FE9D5}"/>
    <cellStyle name="40% - akcent 2_NFoto4" xfId="679" xr:uid="{E76B6203-5032-4F35-9100-999F41CE3EAE}"/>
    <cellStyle name="40% — akcent 2_NFoto4" xfId="680" xr:uid="{E631E0FE-1396-4272-B761-B98F64CFD219}"/>
    <cellStyle name="40% - akcent 2_NVersp50" xfId="681" xr:uid="{3EE618A7-641A-4560-9CBF-C3F6B9832F46}"/>
    <cellStyle name="40% — akcent 2_NVersp70" xfId="682" xr:uid="{59D41BFE-D27A-493E-B69A-B8A858A14413}"/>
    <cellStyle name="40% - akcent 2_slownik" xfId="683" xr:uid="{9D25FCC4-8E3E-4AD2-96D5-5D177BF9D60A}"/>
    <cellStyle name="40% — akcent 2_slownik" xfId="684" xr:uid="{EC39CFFA-B663-42EE-BB6C-9C9193CEFB0F}"/>
    <cellStyle name="40% - akcent 2_slownik_1" xfId="685" xr:uid="{05D56AFE-9931-45CF-98F4-EC5C08A5E8DB}"/>
    <cellStyle name="40% — akcent 2_slownik_1" xfId="686" xr:uid="{B19E8BE2-8DCA-4A1E-8FA0-BB72666AD206}"/>
    <cellStyle name="40% - akcent 2_slownik_1_slownik" xfId="3402" xr:uid="{BBB7C7D5-0C3E-43E6-B8C3-BA5867496A10}"/>
    <cellStyle name="40% — akcent 2_slownik_1_slownik" xfId="3403" xr:uid="{2270CD7E-BAAB-4BC8-A9AE-747BB06AEDA7}"/>
    <cellStyle name="40% - akcent 2_slownik_2" xfId="3404" xr:uid="{5A4CD314-7DF9-4097-BC1F-85F77CE8B0C5}"/>
    <cellStyle name="40% — akcent 2_slownik_2" xfId="3405" xr:uid="{645300FC-4F21-4EA3-9ABB-35BA5B7B9478}"/>
    <cellStyle name="40% - akcent 2_slownik_slownik" xfId="3406" xr:uid="{80F48724-DB58-490E-B3A3-9159F6A42216}"/>
    <cellStyle name="40% — akcent 2_slownik_slownik" xfId="3407" xr:uid="{44699BB7-08D4-4EF6-B7DE-60D913CB1D99}"/>
    <cellStyle name="40% - akcent 3" xfId="687" xr:uid="{3A4CB9CC-315B-4208-870F-2059FB2FC770}"/>
    <cellStyle name="40% — akcent 3" xfId="688" xr:uid="{5FE18651-097D-43A3-B1E6-C7949451C4CB}"/>
    <cellStyle name="40% - akcent 3 10" xfId="689" xr:uid="{AFB10F1D-6DCC-4C38-BE83-9C1DACB83E2F}"/>
    <cellStyle name="40% - akcent 3 10 2" xfId="3079" xr:uid="{860EC73C-F548-4A27-BDD8-19BA7D423AEE}"/>
    <cellStyle name="40% - akcent 3 11" xfId="690" xr:uid="{15FBE855-91AB-4079-8AEA-2287560E9147}"/>
    <cellStyle name="40% - akcent 3 11 2" xfId="2596" xr:uid="{4840490B-36B3-43F0-BECC-F0B5E6D1DBD6}"/>
    <cellStyle name="40% - akcent 3 12" xfId="691" xr:uid="{F734CF97-8EBA-47E4-91F5-9CF67D4528DF}"/>
    <cellStyle name="40% - akcent 3 12 2" xfId="2791" xr:uid="{3FAEF497-D739-4459-8C03-5D5F9C43AB3C}"/>
    <cellStyle name="40% - akcent 3 13" xfId="692" xr:uid="{77426731-9F4A-47A2-81FF-79CA4C49B10B}"/>
    <cellStyle name="40% - akcent 3 13 2" xfId="2724" xr:uid="{E70E4400-3398-46CD-8BB7-55AB1B7AB000}"/>
    <cellStyle name="40% - akcent 3 14" xfId="693" xr:uid="{92AE145F-4888-4F0A-B34F-BD091D3FA4D9}"/>
    <cellStyle name="40% - akcent 3 14 2" xfId="2974" xr:uid="{C6D98C0D-8805-4D26-958B-2518A069C2C3}"/>
    <cellStyle name="40% - akcent 3 15" xfId="694" xr:uid="{2BC064C9-75B9-41B7-B456-B52A6F7EBE8B}"/>
    <cellStyle name="40% - akcent 3 15 2" xfId="3054" xr:uid="{B6268CCF-C6CE-4B67-AB43-532B04FDB99A}"/>
    <cellStyle name="40% - akcent 3 16" xfId="695" xr:uid="{0C0043A3-B5B6-4010-996B-D433C32C3660}"/>
    <cellStyle name="40% - akcent 3 16 2" xfId="2607" xr:uid="{C1B3A16B-4EF9-469E-8710-53CBF8656491}"/>
    <cellStyle name="40% - akcent 3 17" xfId="696" xr:uid="{44F6EF86-2146-457F-B60A-D9EBF9111B22}"/>
    <cellStyle name="40% - akcent 3 17 2" xfId="2786" xr:uid="{ED8EAC0F-DCE2-4FC7-BFE4-2349EEA51BA9}"/>
    <cellStyle name="40% - akcent 3 18" xfId="697" xr:uid="{36A6B3BA-D300-48BA-84CF-A990A18D75F1}"/>
    <cellStyle name="40% - akcent 3 18 2" xfId="2725" xr:uid="{470443AE-F535-4E7A-9186-58EED613FDFF}"/>
    <cellStyle name="40% - akcent 3 19" xfId="698" xr:uid="{7FC05391-3F34-4BEE-9891-8090EC97AF4D}"/>
    <cellStyle name="40% - akcent 3 19 2" xfId="2973" xr:uid="{C882D821-4554-48CD-A6AF-CBC3D9B35087}"/>
    <cellStyle name="40% - akcent 3 2" xfId="699" xr:uid="{74C610E9-4C7D-4689-AEEA-111707416489}"/>
    <cellStyle name="40% — akcent 3 2" xfId="700" xr:uid="{5849FD30-0321-426A-9DC3-8D151F915E0A}"/>
    <cellStyle name="40% - akcent 3 2 2" xfId="701" xr:uid="{4FDD7D87-F644-4E7F-B8F6-6A5A0D8104CA}"/>
    <cellStyle name="40% — akcent 3 2 2" xfId="2369" xr:uid="{B1E5BDC9-F533-40FE-A87D-7BC0ABD76FF6}"/>
    <cellStyle name="40% - akcent 3 2 2 2" xfId="2473" xr:uid="{06EBA17F-E2CF-4FFD-9C62-F3062096A486}"/>
    <cellStyle name="40% - akcent 3 2 3" xfId="702" xr:uid="{8D37A187-D6B2-4F9E-B274-005A45B153CE}"/>
    <cellStyle name="40% - akcent 3 2 3 2" xfId="2452" xr:uid="{2E42E017-F0CD-4AB8-9564-C56E4FA85DF1}"/>
    <cellStyle name="40% - akcent 3 2 4" xfId="2283" xr:uid="{79E38AFE-E7C5-4B55-82D8-653932D98D4D}"/>
    <cellStyle name="40% - akcent 3 2_IMPORT" xfId="703" xr:uid="{F6C184F3-851A-4FB0-80C5-4458C3FD7C65}"/>
    <cellStyle name="40% — akcent 3 2_IMPORT" xfId="704" xr:uid="{2E550AC1-98A7-419B-96BB-CFC410B2A8FA}"/>
    <cellStyle name="40% - akcent 3 20" xfId="705" xr:uid="{D059C20F-4BF3-4239-B1BF-D64322A483EE}"/>
    <cellStyle name="40% - akcent 3 20 2" xfId="2645" xr:uid="{98FE8954-7590-45C0-84BC-012151B54D42}"/>
    <cellStyle name="40% - akcent 3 21" xfId="706" xr:uid="{9D96F92C-A0F4-4D6C-BC28-8C00A069B39B}"/>
    <cellStyle name="40% - akcent 3 21 2" xfId="2584" xr:uid="{95AF5B0C-B4EE-44AF-B645-4B721AB53D12}"/>
    <cellStyle name="40% - akcent 3 22" xfId="707" xr:uid="{77C52A3E-DE78-4F20-B390-0AB6C876447F}"/>
    <cellStyle name="40% - akcent 3 22 2" xfId="2797" xr:uid="{55DCCD33-C292-46AE-A95F-3C694C3CBDDA}"/>
    <cellStyle name="40% - akcent 3 23" xfId="708" xr:uid="{93DBA7B5-61FF-4563-B75D-49AA58EF3DBF}"/>
    <cellStyle name="40% - akcent 3 23 2" xfId="2721" xr:uid="{14C4146A-3CA2-49E4-B051-363546F8107A}"/>
    <cellStyle name="40% - akcent 3 24" xfId="709" xr:uid="{5C294589-C05A-42FE-8D9F-A59D397C32A8}"/>
    <cellStyle name="40% - akcent 3 24 2" xfId="2883" xr:uid="{9F1D2937-9CD3-420B-AABC-FCB9B8168A5B}"/>
    <cellStyle name="40% - akcent 3 25" xfId="710" xr:uid="{EFA2154B-7B39-48CE-92A7-04D6B8D6E301}"/>
    <cellStyle name="40% - akcent 3 25 2" xfId="3061" xr:uid="{CADDE5F4-2568-49C1-9F0E-1E8065180616}"/>
    <cellStyle name="40% - akcent 3 26" xfId="711" xr:uid="{B842A2FF-22BA-4532-9480-694AF9FC12D2}"/>
    <cellStyle name="40% - akcent 3 26 2" xfId="2816" xr:uid="{11400720-C184-4639-825A-FF3C4DA0F748}"/>
    <cellStyle name="40% - akcent 3 27" xfId="712" xr:uid="{464011E6-F0FF-4328-BF4B-89CE921E9590}"/>
    <cellStyle name="40% - akcent 3 27 2" xfId="2865" xr:uid="{4413EC35-5581-448C-BBE6-3BC30CC56584}"/>
    <cellStyle name="40% - akcent 3 28" xfId="713" xr:uid="{8590E8E1-1966-4B62-8F3F-9EF851117143}"/>
    <cellStyle name="40% - akcent 3 28 2" xfId="2701" xr:uid="{81203782-848E-4488-A0F4-A3C9779823DF}"/>
    <cellStyle name="40% - akcent 3 29" xfId="714" xr:uid="{60555324-E2CC-404C-823B-8ED73FC84FA6}"/>
    <cellStyle name="40% - akcent 3 29 2" xfId="2759" xr:uid="{06E74F82-F689-4B17-8465-33228175B8D5}"/>
    <cellStyle name="40% - akcent 3 3" xfId="715" xr:uid="{EA080A30-6E02-4B49-A637-68B7EBF19E7B}"/>
    <cellStyle name="40% — akcent 3 3" xfId="716" xr:uid="{A0190B27-0BB5-4D26-9A62-C7FA80526AA1}"/>
    <cellStyle name="40% — akcent 3 3 2" xfId="2429" xr:uid="{06535826-F824-4EF1-9E59-2D762F2F7D6E}"/>
    <cellStyle name="40% - akcent 3 30" xfId="717" xr:uid="{82DD3DE3-8041-46A1-B7C8-85E2B95D665F}"/>
    <cellStyle name="40% - akcent 3 30 2" xfId="2736" xr:uid="{C66A9B22-C818-40B6-844B-4E455630683F}"/>
    <cellStyle name="40% - akcent 3 31" xfId="718" xr:uid="{728A8AB0-C4CA-4161-9C99-AF7251B6A42F}"/>
    <cellStyle name="40% - akcent 3 31 2" xfId="2881" xr:uid="{1A3EE401-2DCE-4613-9DD2-D6DBD1E1EAC9}"/>
    <cellStyle name="40% - akcent 3 32" xfId="719" xr:uid="{309946AC-0AB3-488D-AA66-856992307BB3}"/>
    <cellStyle name="40% - akcent 3 32 2" xfId="2693" xr:uid="{E4E54DBA-2621-4072-8D48-69FF4D2496C5}"/>
    <cellStyle name="40% - akcent 3 33" xfId="720" xr:uid="{136341BC-1EDE-4A77-B657-57E8DF0E7505}"/>
    <cellStyle name="40% - akcent 3 33 2" xfId="2889" xr:uid="{EF63DA5B-16BC-47C3-8616-76508A7A5D21}"/>
    <cellStyle name="40% - akcent 3 34" xfId="721" xr:uid="{68111214-83A2-47E2-A4B0-C8A6B1665D75}"/>
    <cellStyle name="40% - akcent 3 34 2" xfId="2851" xr:uid="{E4E65E43-C397-47DD-B47A-39BFB6E9BA98}"/>
    <cellStyle name="40% - akcent 3 35" xfId="722" xr:uid="{DDB0D715-AE41-487F-8FE3-C6263660F606}"/>
    <cellStyle name="40% - akcent 3 35 2" xfId="2858" xr:uid="{046CC545-AD07-41F0-AB26-5CE64CBCFF05}"/>
    <cellStyle name="40% - akcent 3 36" xfId="723" xr:uid="{343D47E4-3F95-46CD-8367-A5B49C891E17}"/>
    <cellStyle name="40% - akcent 3 36 2" xfId="2856" xr:uid="{238C80AE-FD13-406F-A77D-36B0EE663B04}"/>
    <cellStyle name="40% - akcent 3 37" xfId="724" xr:uid="{55BDC862-69E9-45D3-B5D3-8586D9B1BE24}"/>
    <cellStyle name="40% - akcent 3 37 2" xfId="2707" xr:uid="{642DED98-AF67-485D-A916-F243FCC3D507}"/>
    <cellStyle name="40% - akcent 3 38" xfId="725" xr:uid="{9DBFCC29-A140-433C-B417-95FF455B628F}"/>
    <cellStyle name="40% - akcent 3 38 2" xfId="2757" xr:uid="{67830B83-1BFD-4870-BBE2-384A998BE41F}"/>
    <cellStyle name="40% - akcent 3 39" xfId="726" xr:uid="{5D051AED-1BA5-44BB-A277-29D6E551D4BA}"/>
    <cellStyle name="40% - akcent 3 39 2" xfId="3018" xr:uid="{0492EA71-7EF9-4481-8942-29C82E6B8CBF}"/>
    <cellStyle name="40% - akcent 3 4" xfId="727" xr:uid="{CE98AA5E-5EB2-4466-B3D9-0CA3D83BFC4D}"/>
    <cellStyle name="40% — akcent 3 4" xfId="728" xr:uid="{19D8DC24-9BE1-4460-9A84-16B05ED7AA07}"/>
    <cellStyle name="40% — akcent 3 4 2" xfId="729" xr:uid="{16C5746E-23B8-4644-8E98-93160D06F6CD}"/>
    <cellStyle name="40% — akcent 3 4 3" xfId="2401" xr:uid="{CBEB0DB4-195F-4511-9D58-19ED78DF2C19}"/>
    <cellStyle name="40% — akcent 3 4_IMPORT" xfId="730" xr:uid="{62B4ABC8-77C2-4047-B78A-0E4590E107D9}"/>
    <cellStyle name="40% - akcent 3 40" xfId="731" xr:uid="{F915BA0E-984F-4C0E-9C77-AA7D8B8BE120}"/>
    <cellStyle name="40% - akcent 3 40 2" xfId="2821" xr:uid="{92969FA5-2112-424D-8B59-6A0F96C01A29}"/>
    <cellStyle name="40% - akcent 3 41" xfId="732" xr:uid="{CC996579-7E7F-40F8-B554-2291769539EB}"/>
    <cellStyle name="40% - akcent 3 41 2" xfId="2956" xr:uid="{E1C3583F-AC83-45EF-8582-E7AF60A73F39}"/>
    <cellStyle name="40% - akcent 3 42" xfId="733" xr:uid="{1DF89774-A022-4769-98D8-718D49D17120}"/>
    <cellStyle name="40% - akcent 3 42 2" xfId="3107" xr:uid="{9E53B6D9-BB52-4CF3-B600-85C4D199E265}"/>
    <cellStyle name="40% - akcent 3 43" xfId="734" xr:uid="{B4C42649-8191-4912-B06A-C52840F0D04D}"/>
    <cellStyle name="40% - akcent 3 43 2" xfId="2805" xr:uid="{111B7E43-B703-4145-8BC4-2844D82766EB}"/>
    <cellStyle name="40% - akcent 3 44" xfId="735" xr:uid="{023D1FE4-2F62-4FDC-8812-784324AAF443}"/>
    <cellStyle name="40% - akcent 3 44 2" xfId="3225" xr:uid="{FA8CC840-5CB6-4046-AC25-5937B64D34D7}"/>
    <cellStyle name="40% - akcent 3 45" xfId="736" xr:uid="{83E77D6F-26FB-4D9D-9A62-E45F05642ED0}"/>
    <cellStyle name="40% - akcent 3 45 2" xfId="3248" xr:uid="{21491B01-E45D-47E5-BFA3-343E62D4B230}"/>
    <cellStyle name="40% - akcent 3 46" xfId="737" xr:uid="{1B123359-83C8-44C4-AE9F-3D0D4323D657}"/>
    <cellStyle name="40% - akcent 3 46 2" xfId="3312" xr:uid="{CECFA809-0E23-4A78-A413-6301D8ACA84D}"/>
    <cellStyle name="40% - akcent 3 47" xfId="738" xr:uid="{AC85A234-F4F6-4EEA-8654-DAE6BBC681B9}"/>
    <cellStyle name="40% - akcent 3 47 2" xfId="3269" xr:uid="{D95DB21E-F07D-4ED0-AF2C-821C5EC4B8DE}"/>
    <cellStyle name="40% - akcent 3 48" xfId="739" xr:uid="{4406428A-E908-4CB5-BD38-807E875BC977}"/>
    <cellStyle name="40% - akcent 3 48 2" xfId="3303" xr:uid="{8D61314F-F5FF-4387-8BC8-D550122DAEAC}"/>
    <cellStyle name="40% - akcent 3 49" xfId="740" xr:uid="{95FC9B62-7779-4B5A-A0A5-7FABD168D1AA}"/>
    <cellStyle name="40% - akcent 3 49 2" xfId="3266" xr:uid="{0C8C55A2-0DE0-48AE-A8E0-4D0456212DE1}"/>
    <cellStyle name="40% - akcent 3 5" xfId="741" xr:uid="{8D222229-0FAD-42B5-AF4A-9564FEC0A044}"/>
    <cellStyle name="40% — akcent 3 5" xfId="742" xr:uid="{48365F05-BE6C-4276-AD74-5633D6E4BC0E}"/>
    <cellStyle name="40% — akcent 3 5 2" xfId="743" xr:uid="{93AC6CC0-2874-429A-8115-5AD8AC970C77}"/>
    <cellStyle name="40% — akcent 3 5 3" xfId="2451" xr:uid="{2F1AA6B5-92D7-4C45-9B4E-9C2CAF1EC4CC}"/>
    <cellStyle name="40% — akcent 3 5_IMPORT" xfId="744" xr:uid="{53933DA6-4F2A-49DC-BE39-C7D83F9F3787}"/>
    <cellStyle name="40% - akcent 3 50" xfId="745" xr:uid="{145B7674-053A-42E6-A4A7-149559B38C65}"/>
    <cellStyle name="40% - akcent 3 51" xfId="746" xr:uid="{448E9075-CFC1-49E6-900E-6697080079BF}"/>
    <cellStyle name="40% - akcent 3 52" xfId="2282" xr:uid="{E044FB55-2B5F-43B0-BA83-A5B106D2B77A}"/>
    <cellStyle name="40% - akcent 3 6" xfId="747" xr:uid="{BDA623F8-4C5A-4FA3-BC54-0A572962564B}"/>
    <cellStyle name="40% — akcent 3 6" xfId="748" xr:uid="{9CC7C0B6-AA49-40B0-BEB1-547836335A65}"/>
    <cellStyle name="40% — akcent 3 6 2" xfId="3333" xr:uid="{A2958922-D894-4B9B-BE30-FFBF27CD4B0D}"/>
    <cellStyle name="40% - akcent 3 7" xfId="749" xr:uid="{E7F6B23D-93E2-4C14-97B9-D1DBBAE98133}"/>
    <cellStyle name="40% - akcent 3 8" xfId="750" xr:uid="{6B4E2C25-47F9-451F-B70C-53D33671DB34}"/>
    <cellStyle name="40% - akcent 3 8 2" xfId="2523" xr:uid="{196112E1-8452-406E-A17B-9D590B347D69}"/>
    <cellStyle name="40% - akcent 3 9" xfId="751" xr:uid="{08ABA219-782A-42BC-8D33-6342D306C5E7}"/>
    <cellStyle name="40% - akcent 3 9 2" xfId="2636" xr:uid="{288B408F-6D3B-42F5-B174-C8229FFE8ABE}"/>
    <cellStyle name="40% — akcent 3_03ceny14" xfId="752" xr:uid="{271CBB68-BDCA-4959-9683-3E50452EA1C0}"/>
    <cellStyle name="40% - akcent 3_03ceny36" xfId="753" xr:uid="{99EA9BAD-FA33-4990-9909-5E20B6E7992C}"/>
    <cellStyle name="40% — akcent 3_03ceny39" xfId="754" xr:uid="{B4399015-C732-4655-885B-9D5775C9EFDE}"/>
    <cellStyle name="40% - akcent 3_Arkusz1" xfId="755" xr:uid="{E4780702-1A95-46C3-88F6-EDB5E763B6D7}"/>
    <cellStyle name="40% — akcent 3_Arkusz1" xfId="3408" xr:uid="{E56A429D-DD21-4FAE-8208-43B0A1A04574}"/>
    <cellStyle name="40% - akcent 3_dodatki" xfId="756" xr:uid="{2A91DE40-0D8D-4F9C-A258-760DC473C86D}"/>
    <cellStyle name="40% — akcent 3_dodatki" xfId="757" xr:uid="{37D34497-4B41-4450-B8BC-FD03118433D8}"/>
    <cellStyle name="40% - akcent 3_grupy" xfId="758" xr:uid="{5771E48D-0708-43FF-8FBD-87C9EE6B3036}"/>
    <cellStyle name="40% — akcent 3_grupy" xfId="759" xr:uid="{66D68622-E3FD-4207-945C-C873F604DBFF}"/>
    <cellStyle name="40% - akcent 3_NFoto4" xfId="760" xr:uid="{5C37271C-EA18-4C86-B465-7BED17EC88D2}"/>
    <cellStyle name="40% — akcent 3_NFoto4" xfId="761" xr:uid="{6F0F2EDB-B35A-4523-9396-409A805FE4FB}"/>
    <cellStyle name="40% - akcent 3_NVersp50" xfId="762" xr:uid="{2B0CB882-B61E-4E50-BC2F-49103C96E62A}"/>
    <cellStyle name="40% — akcent 3_NVersp70" xfId="763" xr:uid="{A3A795A6-4811-4A32-BC45-B706A769542D}"/>
    <cellStyle name="40% - akcent 3_slownik" xfId="764" xr:uid="{F2401CC7-D9DB-4F7C-AECD-B3506A9E1D6B}"/>
    <cellStyle name="40% — akcent 3_slownik" xfId="765" xr:uid="{FE2012F2-150D-44E9-B166-89C8214F2443}"/>
    <cellStyle name="40% - akcent 3_slownik_1" xfId="766" xr:uid="{9D8D0936-DA8E-411E-8863-709428A0464D}"/>
    <cellStyle name="40% — akcent 3_slownik_1" xfId="767" xr:uid="{53A3B328-A68C-4E43-A737-2F286BE29AF6}"/>
    <cellStyle name="40% - akcent 3_slownik_1_slownik" xfId="3409" xr:uid="{A6772DB6-CF91-423D-930B-88E56E988E14}"/>
    <cellStyle name="40% — akcent 3_slownik_1_slownik" xfId="3410" xr:uid="{557D21B4-66DE-4A17-850D-FBA60FF32269}"/>
    <cellStyle name="40% - akcent 3_slownik_2" xfId="3411" xr:uid="{807540BA-63AF-4EE4-BE10-16F84E097D6E}"/>
    <cellStyle name="40% — akcent 3_slownik_2" xfId="3412" xr:uid="{3FF0D6CD-C603-48DA-A050-6193FA4F24BF}"/>
    <cellStyle name="40% - akcent 3_slownik_slownik" xfId="3413" xr:uid="{C46F0523-0460-47C6-B000-68CE40EE2DA7}"/>
    <cellStyle name="40% — akcent 3_slownik_slownik" xfId="3414" xr:uid="{EE3A944F-CE55-4551-96B7-04C2FAFDBCE5}"/>
    <cellStyle name="40% - akcent 4" xfId="768" xr:uid="{EF4BA26F-C670-4ED2-8C5F-FBBE2C5E11BF}"/>
    <cellStyle name="40% — akcent 4" xfId="769" xr:uid="{3D2FB0B3-1C52-4712-8F1D-4313EDB5F276}"/>
    <cellStyle name="40% - akcent 4 10" xfId="770" xr:uid="{6B6DF435-6918-48A4-8243-0A318315A6C0}"/>
    <cellStyle name="40% - akcent 4 10 2" xfId="2773" xr:uid="{61F73E0E-9BAD-4668-BB9E-EAA7CA93EF6F}"/>
    <cellStyle name="40% - akcent 4 11" xfId="771" xr:uid="{2F2891DB-AF60-45C1-A122-E458C6F67839}"/>
    <cellStyle name="40% - akcent 4 11 2" xfId="2731" xr:uid="{1FF2090E-FA1D-4401-B703-51F49373AB12}"/>
    <cellStyle name="40% - akcent 4 12" xfId="772" xr:uid="{367212DA-DB72-44E7-907C-0D32D775707C}"/>
    <cellStyle name="40% - akcent 4 12 2" xfId="2747" xr:uid="{9A74B60C-DC0C-40D6-B292-A55118BA1E4C}"/>
    <cellStyle name="40% - akcent 4 13" xfId="773" xr:uid="{10234B62-B426-4887-88A9-2EC78321DE0E}"/>
    <cellStyle name="40% - akcent 4 13 2" xfId="3028" xr:uid="{7C5B0268-80FF-4675-B93D-A23DE96E6CA4}"/>
    <cellStyle name="40% - akcent 4 14" xfId="774" xr:uid="{D9137A9D-3E1D-4C34-B081-7C2F7C643A4D}"/>
    <cellStyle name="40% - akcent 4 14 2" xfId="2622" xr:uid="{9FA0B188-A1BF-4C95-95B7-F04253A1E9DF}"/>
    <cellStyle name="40% - akcent 4 15" xfId="775" xr:uid="{B6F910B0-E618-44F5-B2A4-A230623A1A50}"/>
    <cellStyle name="40% - akcent 4 15 2" xfId="2781" xr:uid="{B8442A63-2880-4ED7-91CA-553BA6BFFF9F}"/>
    <cellStyle name="40% - akcent 4 16" xfId="776" xr:uid="{F457844D-5FE6-47F3-86E4-57DD711819EE}"/>
    <cellStyle name="40% - akcent 4 16 2" xfId="3069" xr:uid="{8D52FD82-40E3-4420-9510-BD1C7CFE4F7F}"/>
    <cellStyle name="40% - akcent 4 17" xfId="777" xr:uid="{64302B33-A440-40F1-89A6-BF3CAE443ADD}"/>
    <cellStyle name="40% - akcent 4 17 2" xfId="3046" xr:uid="{D5E2A2D1-62BA-49AD-8348-9CF7C973FCF4}"/>
    <cellStyle name="40% - akcent 4 18" xfId="778" xr:uid="{425168EF-4AA6-41B2-AAE9-61C9D0A10997}"/>
    <cellStyle name="40% - akcent 4 18 2" xfId="3003" xr:uid="{DDA99C9E-C31F-4180-BD46-1ACE1DF37896}"/>
    <cellStyle name="40% - akcent 4 19" xfId="779" xr:uid="{717A496B-34BB-440B-BC5C-6DB238F87E27}"/>
    <cellStyle name="40% - akcent 4 19 2" xfId="3051" xr:uid="{CA734822-67A9-48A9-A2BD-B8D5940794C8}"/>
    <cellStyle name="40% - akcent 4 2" xfId="780" xr:uid="{3FFF0DD3-8C27-49FF-85DE-E47598E9081E}"/>
    <cellStyle name="40% — akcent 4 2" xfId="781" xr:uid="{5FC45E3B-0342-42AE-8B45-575454B90F35}"/>
    <cellStyle name="40% - akcent 4 2 2" xfId="782" xr:uid="{61187E3C-4A1C-4709-93B0-B85DC21B7DE5}"/>
    <cellStyle name="40% — akcent 4 2 2" xfId="2370" xr:uid="{13437FD5-E224-41E7-B10C-7069B3920481}"/>
    <cellStyle name="40% - akcent 4 2 2 2" xfId="2474" xr:uid="{5BCB768C-13E8-4DCB-B2C2-8C262B048D3F}"/>
    <cellStyle name="40% - akcent 4 2 3" xfId="783" xr:uid="{4EB2B42A-BFBC-450E-9215-21F6CD94F0C0}"/>
    <cellStyle name="40% - akcent 4 2 3 2" xfId="2454" xr:uid="{B881DD81-AA35-4EA0-A91C-B6AAEEAB335C}"/>
    <cellStyle name="40% - akcent 4 2 4" xfId="2285" xr:uid="{10246DE1-5709-4386-8F97-D576BAABB8EA}"/>
    <cellStyle name="40% - akcent 4 2_IMPORT" xfId="784" xr:uid="{99AE34FD-4D07-4187-9B66-8D47D7CDA540}"/>
    <cellStyle name="40% — akcent 4 2_IMPORT" xfId="785" xr:uid="{A8FFF0E8-29BF-48FA-92E6-FCBC166338A1}"/>
    <cellStyle name="40% - akcent 4 20" xfId="786" xr:uid="{1320CB33-8E32-4BB6-A94B-A60723C164B2}"/>
    <cellStyle name="40% - akcent 4 20 2" xfId="2609" xr:uid="{D3A802E9-110A-44BD-B253-5EEDA984CFFB}"/>
    <cellStyle name="40% - akcent 4 21" xfId="787" xr:uid="{BE110ECC-9712-4303-96F4-8DCFE47FB9E6}"/>
    <cellStyle name="40% - akcent 4 21 2" xfId="3000" xr:uid="{3C08E23F-21C5-4360-B706-670DDB6371D7}"/>
    <cellStyle name="40% - akcent 4 22" xfId="788" xr:uid="{7F5E270E-3A5F-4BD4-BBEF-1476AE3A3BE5}"/>
    <cellStyle name="40% - akcent 4 22 2" xfId="2834" xr:uid="{8091CF5E-BF4C-4D39-A795-78DAF05F8CE8}"/>
    <cellStyle name="40% - akcent 4 23" xfId="789" xr:uid="{94929CF1-7F45-446E-9ACD-648DD4B1FE78}"/>
    <cellStyle name="40% - akcent 4 23 2" xfId="2948" xr:uid="{9DE188E0-096C-496D-93A7-470A30FF86DB}"/>
    <cellStyle name="40% - akcent 4 24" xfId="790" xr:uid="{5EF9A72F-F59B-4AF9-9C82-11BD4611385F}"/>
    <cellStyle name="40% - akcent 4 24 2" xfId="2661" xr:uid="{95779CDD-93FF-4EF7-8B2A-401BD5DF9793}"/>
    <cellStyle name="40% - akcent 4 25" xfId="791" xr:uid="{95B133B9-3A8B-40F8-997D-6AED253845EE}"/>
    <cellStyle name="40% - akcent 4 25 2" xfId="2799" xr:uid="{7FA3D97C-15D4-434B-92B2-CC8B5E461328}"/>
    <cellStyle name="40% - akcent 4 26" xfId="792" xr:uid="{6C72120F-683A-4D63-AE7F-B4A1E885AFCD}"/>
    <cellStyle name="40% - akcent 4 26 2" xfId="2964" xr:uid="{9B9ED932-A68D-4F63-B29F-4AFA619D7E5C}"/>
    <cellStyle name="40% - akcent 4 27" xfId="793" xr:uid="{205D796C-126E-4957-AE0B-A17593F09BD5}"/>
    <cellStyle name="40% - akcent 4 27 2" xfId="2651" xr:uid="{57989D6F-8FDE-4BD4-9269-7959DA0E3876}"/>
    <cellStyle name="40% - akcent 4 28" xfId="794" xr:uid="{A5B77178-C3CB-43D7-B7D6-8F4F81EF2102}"/>
    <cellStyle name="40% - akcent 4 28 2" xfId="2986" xr:uid="{5C954FA7-82E6-4364-91C8-D71F306A647C}"/>
    <cellStyle name="40% - akcent 4 29" xfId="795" xr:uid="{4CEEDDFD-C704-4718-96A6-8656518CC72B}"/>
    <cellStyle name="40% - akcent 4 29 2" xfId="2639" xr:uid="{702D542C-F9E1-4AD7-9F44-193F487E1401}"/>
    <cellStyle name="40% - akcent 4 3" xfId="796" xr:uid="{35B0539A-C8C2-4D0F-8162-03627AF9C7C4}"/>
    <cellStyle name="40% — akcent 4 3" xfId="797" xr:uid="{BB66EB31-692D-46AA-8F1E-03CCE13013C0}"/>
    <cellStyle name="40% — akcent 4 3 2" xfId="2430" xr:uid="{464B036A-E909-4439-ABC1-57D2C3BACFAE}"/>
    <cellStyle name="40% - akcent 4 30" xfId="798" xr:uid="{7592B910-4E47-4C93-A94E-7BFB336EE21D}"/>
    <cellStyle name="40% - akcent 4 30 2" xfId="2895" xr:uid="{AB2A3C75-6425-49EF-8B11-A228B74992D7}"/>
    <cellStyle name="40% - akcent 4 31" xfId="799" xr:uid="{8A0B843E-A5FE-4635-AEFD-127096CEDA92}"/>
    <cellStyle name="40% - akcent 4 31 2" xfId="2684" xr:uid="{79FB97D2-514A-466B-959C-91A445A2E908}"/>
    <cellStyle name="40% - akcent 4 32" xfId="800" xr:uid="{B8557AEC-307E-43CF-BE11-D8C86AB680F5}"/>
    <cellStyle name="40% - akcent 4 32 2" xfId="2891" xr:uid="{58850D92-EF97-4846-9F13-CFFD147B6644}"/>
    <cellStyle name="40% - akcent 4 33" xfId="801" xr:uid="{4916A46C-CB1C-4721-99D4-156AAF4B213F}"/>
    <cellStyle name="40% - akcent 4 33 2" xfId="2687" xr:uid="{E6E8A193-5660-42FD-B8D6-0A1ED35FB66F}"/>
    <cellStyle name="40% - akcent 4 34" xfId="802" xr:uid="{425D8659-E457-4576-AD78-2AB971E60392}"/>
    <cellStyle name="40% - akcent 4 34 2" xfId="2890" xr:uid="{199B028F-6D59-42C6-9893-13CA67AA98F4}"/>
    <cellStyle name="40% - akcent 4 35" xfId="803" xr:uid="{FE7AEFE5-9345-4FB9-BEA7-BC1E84027DB8}"/>
    <cellStyle name="40% - akcent 4 35 2" xfId="2688" xr:uid="{098904B7-C1C3-4E92-861A-1D609F2F5746}"/>
    <cellStyle name="40% - akcent 4 36" xfId="804" xr:uid="{51845A8B-674F-4156-B100-25CC7CF6CC99}"/>
    <cellStyle name="40% - akcent 4 36 2" xfId="2765" xr:uid="{D3BEF4CF-7791-44E5-9E0C-5A54884CD96F}"/>
    <cellStyle name="40% - akcent 4 37" xfId="805" xr:uid="{BBAFD438-DB2B-475C-BC58-0463F6E45D88}"/>
    <cellStyle name="40% - akcent 4 37 2" xfId="2733" xr:uid="{CC6FDD34-A36B-481F-BA5F-C1108C385E5F}"/>
    <cellStyle name="40% - akcent 4 38" xfId="806" xr:uid="{4247DD0B-38E9-4B9E-830E-C06CF6CD8E96}"/>
    <cellStyle name="40% - akcent 4 38 2" xfId="2746" xr:uid="{9B888844-7CC0-48C3-9E55-EA42F3CA5619}"/>
    <cellStyle name="40% - akcent 4 39" xfId="807" xr:uid="{71025580-3673-4C59-8047-0B4D2754F1DB}"/>
    <cellStyle name="40% - akcent 4 39 2" xfId="2878" xr:uid="{5D9212E3-B965-4250-9F52-4E21DD838073}"/>
    <cellStyle name="40% - akcent 4 4" xfId="808" xr:uid="{741BA99E-CDA6-4BED-8C9E-9F765B47A0F4}"/>
    <cellStyle name="40% — akcent 4 4" xfId="809" xr:uid="{74F12842-342B-4B07-A78F-F27A4BFA1D3E}"/>
    <cellStyle name="40% — akcent 4 4 2" xfId="810" xr:uid="{9D206B94-C0E5-4B69-8A03-91F8C48CF08E}"/>
    <cellStyle name="40% — akcent 4 4 3" xfId="2402" xr:uid="{B6F924B7-7622-4E5F-B83A-92E9245E9CBB}"/>
    <cellStyle name="40% — akcent 4 4_IMPORT" xfId="811" xr:uid="{2DAA5DB8-4062-440D-B9BF-D25F7F66CFBF}"/>
    <cellStyle name="40% - akcent 4 40" xfId="812" xr:uid="{B90FBE83-A083-4B35-9901-0305E8446AE9}"/>
    <cellStyle name="40% - akcent 4 40 2" xfId="2853" xr:uid="{72E7536E-E8FA-406B-8FFA-EDBB40572445}"/>
    <cellStyle name="40% - akcent 4 41" xfId="813" xr:uid="{9371AB06-C9E6-4999-AE58-6C32B96C0C26}"/>
    <cellStyle name="40% - akcent 4 41 2" xfId="2709" xr:uid="{E0D047F8-BD6E-4B9C-82AF-7CDEC05ACF66}"/>
    <cellStyle name="40% - akcent 4 42" xfId="814" xr:uid="{2B262F78-2E52-44EE-86A7-659E4A404DCA}"/>
    <cellStyle name="40% - akcent 4 42 2" xfId="3022" xr:uid="{71E11EBC-619E-4A29-8301-C95B99736D45}"/>
    <cellStyle name="40% - akcent 4 43" xfId="815" xr:uid="{9EA82C6E-E5BF-4C79-B1F8-66E6DC753D62}"/>
    <cellStyle name="40% - akcent 4 43 2" xfId="2626" xr:uid="{CF2C8328-242C-4FB2-97FB-2F097B16DA9A}"/>
    <cellStyle name="40% - akcent 4 44" xfId="816" xr:uid="{D177C344-99B7-42B0-A103-98A9BC91FCA6}"/>
    <cellStyle name="40% - akcent 4 44 2" xfId="3226" xr:uid="{5069CA52-667B-4BBA-AF04-92B66B5F9D7B}"/>
    <cellStyle name="40% - akcent 4 45" xfId="817" xr:uid="{9A17C5BD-E6AB-4BCB-A218-C49698B7ED62}"/>
    <cellStyle name="40% - akcent 4 45 2" xfId="3247" xr:uid="{6F13D24C-3F73-481A-A46B-2B9A8BC526E6}"/>
    <cellStyle name="40% - akcent 4 46" xfId="818" xr:uid="{29E5DA35-2FEE-4BF1-A7FF-7634EDA30C98}"/>
    <cellStyle name="40% - akcent 4 46 2" xfId="3242" xr:uid="{CD486B0B-9976-4314-A70A-E9A7FE1267B0}"/>
    <cellStyle name="40% - akcent 4 47" xfId="819" xr:uid="{70D16482-E7CF-49C8-93F5-CB44DCB5D7AD}"/>
    <cellStyle name="40% - akcent 4 47 2" xfId="3274" xr:uid="{53291C3A-2CEB-4CCE-8CED-ECBBF0B2B69A}"/>
    <cellStyle name="40% - akcent 4 48" xfId="820" xr:uid="{0578D197-175F-4CE5-8532-35AD642A238E}"/>
    <cellStyle name="40% - akcent 4 48 2" xfId="3271" xr:uid="{4E04914D-C7FD-4A24-B7D6-82F3BBF9DBAD}"/>
    <cellStyle name="40% - akcent 4 49" xfId="821" xr:uid="{114B4AE6-212C-4EA6-899F-5E1749CF72AA}"/>
    <cellStyle name="40% - akcent 4 49 2" xfId="3265" xr:uid="{58D3BA3D-6534-41D9-A3AB-409DBEA22C17}"/>
    <cellStyle name="40% - akcent 4 5" xfId="822" xr:uid="{924F12EF-879A-4609-AB55-609B7819A78B}"/>
    <cellStyle name="40% — akcent 4 5" xfId="823" xr:uid="{C14AFC0C-FCD0-4DB3-947B-C2C74DA9A7C2}"/>
    <cellStyle name="40% — akcent 4 5 2" xfId="824" xr:uid="{0376D1C1-6EDB-4E6E-B305-3AFDE12608CD}"/>
    <cellStyle name="40% — akcent 4 5 3" xfId="2453" xr:uid="{AB56FC1E-E498-4EEF-9E37-FBC933B44A41}"/>
    <cellStyle name="40% — akcent 4 5_IMPORT" xfId="825" xr:uid="{3410B174-7C0B-4704-8FC2-196842D8704B}"/>
    <cellStyle name="40% - akcent 4 50" xfId="826" xr:uid="{91EB6F1A-DE76-4AA4-9EAD-EB967ABEF509}"/>
    <cellStyle name="40% - akcent 4 51" xfId="827" xr:uid="{65090360-E707-486C-9719-A38FB53884FC}"/>
    <cellStyle name="40% - akcent 4 52" xfId="2284" xr:uid="{83732A4C-C68C-488E-826D-91A50E466A7D}"/>
    <cellStyle name="40% - akcent 4 6" xfId="828" xr:uid="{5E47BA48-9A83-44FD-A25B-8BADFEC1EC7E}"/>
    <cellStyle name="40% — akcent 4 6" xfId="829" xr:uid="{CF7497E3-5CAB-4769-9481-4FC0F2F1C119}"/>
    <cellStyle name="40% — akcent 4 6 2" xfId="3334" xr:uid="{08F805B4-F887-41AB-8FCD-D2B5EF1DF459}"/>
    <cellStyle name="40% - akcent 4 7" xfId="830" xr:uid="{DCDB8299-53DB-4B4C-BDB6-EE324440F921}"/>
    <cellStyle name="40% - akcent 4 8" xfId="831" xr:uid="{3E453A72-0E65-4C95-AEA9-E2FA0FFDCD08}"/>
    <cellStyle name="40% - akcent 4 8 2" xfId="2524" xr:uid="{C4638AF0-2E94-4AA8-AE78-79512D0B82D8}"/>
    <cellStyle name="40% - akcent 4 9" xfId="832" xr:uid="{C5F12EF5-C78B-437C-80C9-26A41783C8FE}"/>
    <cellStyle name="40% - akcent 4 9 2" xfId="2643" xr:uid="{B7892171-D6A4-4BC5-8E5B-6EB2A73DB1A4}"/>
    <cellStyle name="40% — akcent 4_03ceny14" xfId="833" xr:uid="{9E524DCC-03DA-4E8F-BA34-0439C15FFDC5}"/>
    <cellStyle name="40% - akcent 4_03ceny36" xfId="834" xr:uid="{F002373D-144F-476F-8AA3-B8E74D4E191B}"/>
    <cellStyle name="40% — akcent 4_03ceny39" xfId="835" xr:uid="{ED721FCF-D4C3-4F5E-A440-70B988EB20C2}"/>
    <cellStyle name="40% - akcent 4_Arkusz1" xfId="836" xr:uid="{BB181155-B7E9-4298-AF34-FFB74377A8F7}"/>
    <cellStyle name="40% — akcent 4_Arkusz1" xfId="3415" xr:uid="{48723A4B-D239-4845-9744-B3E60DF76DD0}"/>
    <cellStyle name="40% - akcent 4_dodatki" xfId="837" xr:uid="{D4424DE4-C5C5-47CA-BFB0-6605BC05CFF0}"/>
    <cellStyle name="40% — akcent 4_dodatki" xfId="838" xr:uid="{10A5606F-8D1A-4184-8F18-8D1751E50A3A}"/>
    <cellStyle name="40% - akcent 4_grupy" xfId="839" xr:uid="{7F814410-342E-4D81-A10E-4F7E4F526AF7}"/>
    <cellStyle name="40% — akcent 4_grupy" xfId="840" xr:uid="{5474685D-6E5E-4D47-979F-C91CBAA7A95C}"/>
    <cellStyle name="40% - akcent 4_NFoto4" xfId="841" xr:uid="{4CF4A545-FB24-4DE3-A126-4258F4AF45B5}"/>
    <cellStyle name="40% — akcent 4_NFoto4" xfId="842" xr:uid="{863CB56E-E5DF-458E-A475-C0BF684DF9D7}"/>
    <cellStyle name="40% - akcent 4_NVersp50" xfId="843" xr:uid="{C5694BD0-6602-4C85-B7CC-219E93FA5FDD}"/>
    <cellStyle name="40% — akcent 4_NVersp70" xfId="844" xr:uid="{62D2755E-5E8C-4AA0-A2D6-64912DFB8848}"/>
    <cellStyle name="40% - akcent 4_slownik" xfId="845" xr:uid="{CAF00CA8-CC3E-4A41-BFD2-1F7CC85A2B52}"/>
    <cellStyle name="40% — akcent 4_slownik" xfId="846" xr:uid="{94CF0D34-05F3-49F2-8518-AA8134A8BBE5}"/>
    <cellStyle name="40% - akcent 4_slownik_1" xfId="847" xr:uid="{E089BA82-142D-43BF-A5B0-7AC5C336B3A1}"/>
    <cellStyle name="40% — akcent 4_slownik_1" xfId="848" xr:uid="{DF344478-7D8C-4FE4-8E30-D32635B222DC}"/>
    <cellStyle name="40% - akcent 4_slownik_1_slownik" xfId="3416" xr:uid="{48468C5A-C4AA-4A3B-8DDD-D822E4BD4A95}"/>
    <cellStyle name="40% — akcent 4_slownik_1_slownik" xfId="3417" xr:uid="{E9967D80-B513-43C5-8B08-0929569A4C2F}"/>
    <cellStyle name="40% - akcent 4_slownik_2" xfId="3418" xr:uid="{3C22B957-EA36-4037-928E-C9092159C93D}"/>
    <cellStyle name="40% — akcent 4_slownik_2" xfId="3419" xr:uid="{D1B3D56D-C664-4B4A-A908-808BC6EA1E06}"/>
    <cellStyle name="40% - akcent 4_slownik_slownik" xfId="3420" xr:uid="{9DB85D05-CF11-49D0-8CDA-AC0DBBD45938}"/>
    <cellStyle name="40% — akcent 4_slownik_slownik" xfId="3421" xr:uid="{754633E2-C202-456E-A9FF-C59950C3F093}"/>
    <cellStyle name="40% - akcent 5" xfId="849" xr:uid="{90661EF1-10D8-4559-893D-7C318D9EB61B}"/>
    <cellStyle name="40% — akcent 5" xfId="850" xr:uid="{88A82CA9-AB72-403C-8C6E-1145BD90E45F}"/>
    <cellStyle name="40% - akcent 5 10" xfId="851" xr:uid="{9C71FE37-E0C3-4F76-B266-6AC2C8107FCE}"/>
    <cellStyle name="40% - akcent 5 10 2" xfId="2893" xr:uid="{7B9D0BCF-F595-4876-A769-C21F9D8A2708}"/>
    <cellStyle name="40% - akcent 5 11" xfId="852" xr:uid="{52CAC7BA-834E-41DD-9846-348CC143B8BF}"/>
    <cellStyle name="40% - akcent 5 11 2" xfId="2686" xr:uid="{7EDA6434-45E9-49E3-8F72-2DCFF3478449}"/>
    <cellStyle name="40% - akcent 5 12" xfId="853" xr:uid="{15CD8008-0690-4FF4-A6EE-FB920ADD4E3E}"/>
    <cellStyle name="40% - akcent 5 12 2" xfId="2977" xr:uid="{24F87D94-7DD0-4474-9499-3F026D7D052D}"/>
    <cellStyle name="40% - akcent 5 13" xfId="854" xr:uid="{A9167935-15DA-4EAE-85F8-5D20F22E5046}"/>
    <cellStyle name="40% - akcent 5 13 2" xfId="3034" xr:uid="{9F361629-A6C9-4046-916A-0A89DF53EDC5}"/>
    <cellStyle name="40% - akcent 5 14" xfId="855" xr:uid="{1ABD72DB-B062-4500-A8D2-BF0628477A21}"/>
    <cellStyle name="40% - akcent 5 14 2" xfId="3048" xr:uid="{53AE2319-4E77-46EB-9057-10D49F921021}"/>
    <cellStyle name="40% - akcent 5 15" xfId="856" xr:uid="{21E7713D-D5BC-4CF7-A939-17DF02D594AE}"/>
    <cellStyle name="40% - akcent 5 15 2" xfId="2613" xr:uid="{CBDCAE6D-21E4-4301-A784-887CD95F1718}"/>
    <cellStyle name="40% - akcent 5 16" xfId="857" xr:uid="{5282385B-DA13-4D57-8BD8-8DFFF39C5DE4}"/>
    <cellStyle name="40% - akcent 5 16 2" xfId="2784" xr:uid="{3FF5A597-75D0-4F02-B7BB-14C7E6C4A5BD}"/>
    <cellStyle name="40% - akcent 5 17" xfId="858" xr:uid="{53949F36-2175-45A2-AE40-FD769A5D0D89}"/>
    <cellStyle name="40% - akcent 5 17 2" xfId="3068" xr:uid="{4F4C96BD-AD87-4BEF-A33B-66DA4FBA7E03}"/>
    <cellStyle name="40% - akcent 5 18" xfId="859" xr:uid="{401D94D9-6C9F-41DD-BE91-5E154729AC99}"/>
    <cellStyle name="40% - akcent 5 18 2" xfId="2600" xr:uid="{FDC0ABBC-8D56-4939-B1C5-3368DE1C68F1}"/>
    <cellStyle name="40% - akcent 5 19" xfId="860" xr:uid="{E57CB7C1-1F1D-4395-BA27-699A9C469150}"/>
    <cellStyle name="40% - akcent 5 19 2" xfId="2790" xr:uid="{142E9B24-B342-4F6A-994E-078E869452D2}"/>
    <cellStyle name="40% - akcent 5 2" xfId="861" xr:uid="{884AEF20-CC35-4329-AA9E-B3ED9601C072}"/>
    <cellStyle name="40% — akcent 5 2" xfId="862" xr:uid="{1B93D06A-5BB0-49E6-9D89-752C3FD96237}"/>
    <cellStyle name="40% - akcent 5 2 2" xfId="2287" xr:uid="{02A7A234-B3ED-4813-A35E-07991F37DBFE}"/>
    <cellStyle name="40% — akcent 5 2 2" xfId="2371" xr:uid="{3F6C9BA2-5CD1-4CCB-8948-9CA3CFE977BE}"/>
    <cellStyle name="40% - akcent 5 2_IMPORT" xfId="863" xr:uid="{A845C664-A7DC-43BE-911B-164863D4CD7E}"/>
    <cellStyle name="40% — akcent 5 2_IMPORT" xfId="864" xr:uid="{0D6D084D-B021-4D24-9AB7-51474ED4BAF5}"/>
    <cellStyle name="40% - akcent 5 20" xfId="865" xr:uid="{B5BED03B-BE8F-4C12-988B-B5802470A0A5}"/>
    <cellStyle name="40% - akcent 5 20 2" xfId="3015" xr:uid="{38FF5D50-AFBE-46B0-97A7-34511631D853}"/>
    <cellStyle name="40% - akcent 5 21" xfId="866" xr:uid="{1CEDC2C8-42AF-42C6-A5B8-CB5E8A13B293}"/>
    <cellStyle name="40% - akcent 5 21 2" xfId="2824" xr:uid="{088B2BE3-CE5F-4A7B-811C-4C8C8A6FC8A1}"/>
    <cellStyle name="40% - akcent 5 22" xfId="867" xr:uid="{B177032C-8595-4DAC-A49E-93500959AF88}"/>
    <cellStyle name="40% - akcent 5 22 2" xfId="2953" xr:uid="{0BFCC4CC-84D9-4149-A0CD-0FAF7583B2B4}"/>
    <cellStyle name="40% - akcent 5 23" xfId="868" xr:uid="{70A8724B-7FA5-423D-BAFA-78AC174D518A}"/>
    <cellStyle name="40% - akcent 5 23 2" xfId="3056" xr:uid="{9ED8EBD5-FB8B-4EA6-ABF7-2C2BB5098BA2}"/>
    <cellStyle name="40% - akcent 5 24" xfId="869" xr:uid="{B54A6413-D857-47DD-9870-B8B85E99DB09}"/>
    <cellStyle name="40% - akcent 5 24 2" xfId="2817" xr:uid="{CDC7A030-1CE7-4B99-B141-0552DFC1694B}"/>
    <cellStyle name="40% - akcent 5 25" xfId="870" xr:uid="{E5155FDF-1F93-4792-A2F1-E48EF56771DD}"/>
    <cellStyle name="40% - akcent 5 25 2" xfId="2716" xr:uid="{7B5ADF41-36AD-4189-800E-0DDA78982FF4}"/>
    <cellStyle name="40% - akcent 5 26" xfId="871" xr:uid="{38CE6E68-1229-4CD0-B942-151B92662E7D}"/>
    <cellStyle name="40% - akcent 5 26 2" xfId="2755" xr:uid="{76D6CBAE-E003-47D7-A321-E448671A168A}"/>
    <cellStyle name="40% - akcent 5 27" xfId="872" xr:uid="{B8C6017B-679A-44B1-B2C8-96D53D544E06}"/>
    <cellStyle name="40% - akcent 5 27 2" xfId="2738" xr:uid="{EB5EAF9D-0075-4371-99F5-2A3792C47796}"/>
    <cellStyle name="40% - akcent 5 28" xfId="873" xr:uid="{65FDC26F-4985-4CAB-B04D-A5A203F39D8C}"/>
    <cellStyle name="40% - akcent 5 28 2" xfId="2743" xr:uid="{A9885F1C-6BBF-49EC-95AC-F5B11383368C}"/>
    <cellStyle name="40% - akcent 5 29" xfId="874" xr:uid="{6EEB8EEB-6D2E-4D62-B8FA-92310FE8599C}"/>
    <cellStyle name="40% - akcent 5 29 2" xfId="2880" xr:uid="{8D4880AD-8D0C-46E2-A795-BA9D1AF677AE}"/>
    <cellStyle name="40% - akcent 5 3" xfId="875" xr:uid="{01CB4E0B-4FC2-4588-936E-E1B826BC9304}"/>
    <cellStyle name="40% — akcent 5 3" xfId="876" xr:uid="{F4E83E0C-EF8E-46DA-A19B-F88720B1F0DD}"/>
    <cellStyle name="40% — akcent 5 3 2" xfId="2431" xr:uid="{D26C4206-4A57-42AB-B4F3-760CA85C2DBF}"/>
    <cellStyle name="40% - akcent 5 30" xfId="877" xr:uid="{B7918CFE-3834-41DB-9967-A79D4431C915}"/>
    <cellStyle name="40% - akcent 5 30 2" xfId="3062" xr:uid="{F7944C6C-5F08-473A-ACB6-061817BD93B9}"/>
    <cellStyle name="40% - akcent 5 31" xfId="878" xr:uid="{DDF4C999-6A6E-4D97-9490-E2B9A97D214F}"/>
    <cellStyle name="40% - akcent 5 31 2" xfId="2604" xr:uid="{7ED95ED4-0AF6-45E9-B000-525F6AB803B4}"/>
    <cellStyle name="40% - akcent 5 32" xfId="879" xr:uid="{DEE96BC2-8A7D-4FBE-93A5-8B7431E60CEC}"/>
    <cellStyle name="40% - akcent 5 32 2" xfId="2981" xr:uid="{1296DF1A-8601-4A2F-8BCB-B93F3080B3F4}"/>
    <cellStyle name="40% - akcent 5 33" xfId="880" xr:uid="{7420617A-9631-4515-852B-3554383ADB24}"/>
    <cellStyle name="40% - akcent 5 33 2" xfId="2642" xr:uid="{F58E1773-A11C-4A22-82A7-03A9DCD9D43B}"/>
    <cellStyle name="40% - akcent 5 34" xfId="881" xr:uid="{A756EC0F-E0E3-4725-BA65-25E1BF6550CE}"/>
    <cellStyle name="40% - akcent 5 34 2" xfId="2774" xr:uid="{04DB094B-57C3-40FF-9297-89DEB2B3E250}"/>
    <cellStyle name="40% - akcent 5 35" xfId="882" xr:uid="{2DA127B7-5E51-4C12-85FA-24CDDC90619C}"/>
    <cellStyle name="40% - akcent 5 35 2" xfId="2730" xr:uid="{52EBB713-C583-461C-961D-9ABFB106A812}"/>
    <cellStyle name="40% - akcent 5 36" xfId="883" xr:uid="{FE07E56E-2743-422D-9C44-E3329FD3842F}"/>
    <cellStyle name="40% - akcent 5 36 2" xfId="2748" xr:uid="{A426A70B-258A-46A2-B39A-9C9348FB9A6F}"/>
    <cellStyle name="40% - akcent 5 37" xfId="884" xr:uid="{26BA7102-A5DC-470D-8445-BBE60ABBC7EA}"/>
    <cellStyle name="40% - akcent 5 37 2" xfId="3019" xr:uid="{3C3EBF29-8293-434E-8DF4-EDE7177D4CA6}"/>
    <cellStyle name="40% - akcent 5 38" xfId="885" xr:uid="{A646EFEC-8525-4B4F-ACA9-DBDE8EECF3AF}"/>
    <cellStyle name="40% - akcent 5 38 2" xfId="2629" xr:uid="{64C42016-1621-43D4-9810-514916738ACD}"/>
    <cellStyle name="40% - akcent 5 39" xfId="886" xr:uid="{48798837-F992-42E8-AA04-858B838E6FDB}"/>
    <cellStyle name="40% - akcent 5 39 2" xfId="2776" xr:uid="{D3DACC6F-A38A-40F8-AB0F-E2D19E09AEB7}"/>
    <cellStyle name="40% - akcent 5 4" xfId="887" xr:uid="{158E2899-A740-4DAF-99B7-5B677B5EA04C}"/>
    <cellStyle name="40% — akcent 5 4" xfId="888" xr:uid="{DBC32163-34A2-4E27-802E-8283FEB56E20}"/>
    <cellStyle name="40% — akcent 5 4 2" xfId="2403" xr:uid="{E0176DB4-E3B0-4F79-80B5-3610358D3C03}"/>
    <cellStyle name="40% - akcent 5 40" xfId="889" xr:uid="{2E7BE026-E03C-40CA-A8B3-D5FC12DF6C8C}"/>
    <cellStyle name="40% - akcent 5 40 2" xfId="3016" xr:uid="{A7FDD4AE-0901-4C92-82FC-A6A6453EA139}"/>
    <cellStyle name="40% - akcent 5 41" xfId="890" xr:uid="{E9BB8E05-0C09-4024-9535-7946AD3CA77B}"/>
    <cellStyle name="40% - akcent 5 41 2" xfId="2823" xr:uid="{5E162DE7-C366-4868-B761-8559A2ECD0BF}"/>
    <cellStyle name="40% - akcent 5 42" xfId="891" xr:uid="{53E0F6AC-4248-444B-982E-7ED6C9EE8ED4}"/>
    <cellStyle name="40% - akcent 5 42 2" xfId="2954" xr:uid="{7BFAC5D5-F673-4348-BE0E-5A3715F7F7A5}"/>
    <cellStyle name="40% - akcent 5 43" xfId="892" xr:uid="{E6D5ABDF-6C45-4884-A1CD-38C7A3C69417}"/>
    <cellStyle name="40% - akcent 5 43 2" xfId="2840" xr:uid="{65BE80F0-1B6D-4632-850C-945FF9A68481}"/>
    <cellStyle name="40% - akcent 5 44" xfId="893" xr:uid="{7249A462-53D0-4EAF-816C-25FA369A549B}"/>
    <cellStyle name="40% - akcent 5 44 2" xfId="3227" xr:uid="{01C013FA-719F-4F7C-B643-2DB022EC02C1}"/>
    <cellStyle name="40% - akcent 5 45" xfId="894" xr:uid="{CA745B55-2178-4219-9ED8-3EA10E6C2549}"/>
    <cellStyle name="40% - akcent 5 45 2" xfId="3282" xr:uid="{A686FAF7-C0BF-4A57-AE0F-EE8EC3749170}"/>
    <cellStyle name="40% - akcent 5 46" xfId="895" xr:uid="{C23265C1-3ADF-4A34-AE59-A60FF44C2E21}"/>
    <cellStyle name="40% - akcent 5 46 2" xfId="3259" xr:uid="{95039B0D-EB95-42E4-860C-70855DE42BB8}"/>
    <cellStyle name="40% - akcent 5 47" xfId="896" xr:uid="{B0524CE1-19F9-4FEA-975A-EAEF1F263E84}"/>
    <cellStyle name="40% - akcent 5 47 2" xfId="3291" xr:uid="{2E1EF866-ED16-439A-B905-965C4DFE9422}"/>
    <cellStyle name="40% - akcent 5 48" xfId="897" xr:uid="{05D2FAFE-7B37-4447-90F6-CF73406FFDCA}"/>
    <cellStyle name="40% - akcent 5 48 2" xfId="3309" xr:uid="{C432D6BF-F7BE-44B7-9E8E-9CB60D2E5D6E}"/>
    <cellStyle name="40% - akcent 5 49" xfId="898" xr:uid="{58658724-327C-4BFC-B3B0-C6938DF3913C}"/>
    <cellStyle name="40% - akcent 5 49 2" xfId="3240" xr:uid="{33BA877C-0497-4EC6-807B-4C0A02C7B9DD}"/>
    <cellStyle name="40% - akcent 5 5" xfId="899" xr:uid="{434C6621-A83D-4A22-B8AE-94382F57AC15}"/>
    <cellStyle name="40% — akcent 5 5" xfId="900" xr:uid="{68AF9C95-8082-4C64-BCB6-82CDE8F5C48E}"/>
    <cellStyle name="40% — akcent 5 5 2" xfId="2455" xr:uid="{08772F77-41D6-414B-B1B6-3104ED587149}"/>
    <cellStyle name="40% - akcent 5 50" xfId="901" xr:uid="{FAC4C10F-4BF1-4E32-9F58-85F6E3115D2D}"/>
    <cellStyle name="40% - akcent 5 51" xfId="902" xr:uid="{F5A20556-1336-40EF-8564-F83417C69E93}"/>
    <cellStyle name="40% - akcent 5 52" xfId="2286" xr:uid="{50DCE294-0B23-4618-A581-F19D3E5E8FE1}"/>
    <cellStyle name="40% - akcent 5 6" xfId="903" xr:uid="{0109A1A4-9F2B-4842-A555-2066DA733085}"/>
    <cellStyle name="40% — akcent 5 6" xfId="904" xr:uid="{E92D3CEF-C816-45BE-B065-BF539C1EB2D6}"/>
    <cellStyle name="40% — akcent 5 6 2" xfId="3335" xr:uid="{DA55BA3E-87F4-4B6C-801F-37140DD56772}"/>
    <cellStyle name="40% - akcent 5 7" xfId="905" xr:uid="{E9590B91-E294-4C56-871B-BBC54DE23AC3}"/>
    <cellStyle name="40% - akcent 5 8" xfId="906" xr:uid="{FDD9F02E-49D0-467F-8986-CFF888C8DB48}"/>
    <cellStyle name="40% - akcent 5 8 2" xfId="2525" xr:uid="{4B5D23E1-5E2A-4990-A039-89CF0AF22604}"/>
    <cellStyle name="40% - akcent 5 9" xfId="907" xr:uid="{0487E70D-4068-4B5B-B587-BC185A8AE7FE}"/>
    <cellStyle name="40% - akcent 5 9 2" xfId="2649" xr:uid="{3501BA8A-DB4F-4A1D-A490-ABC6BCD1EB8C}"/>
    <cellStyle name="40% — akcent 5_03ceny14" xfId="908" xr:uid="{95A3612F-D6E9-49CD-8AAC-9910C17DA080}"/>
    <cellStyle name="40% - akcent 5_03ceny36" xfId="909" xr:uid="{C7EA419E-24BC-4C3D-8B66-FFD62DC681ED}"/>
    <cellStyle name="40% — akcent 5_03ceny39" xfId="910" xr:uid="{E2D12933-AC05-4EED-9446-BBD334A91882}"/>
    <cellStyle name="40% - akcent 5_Arkusz1" xfId="911" xr:uid="{705E7B7F-A085-406A-B758-4966714BF1D7}"/>
    <cellStyle name="40% — akcent 5_Arkusz1" xfId="3422" xr:uid="{14B0C916-B114-46A7-B08B-5A7D5D5EB736}"/>
    <cellStyle name="40% - akcent 5_dodatki" xfId="912" xr:uid="{E39CD526-0802-4721-867A-A94D31779C8C}"/>
    <cellStyle name="40% — akcent 5_dodatki" xfId="913" xr:uid="{6C73E998-EB64-4029-A8A2-D4E45AED25B9}"/>
    <cellStyle name="40% - akcent 5_grupy" xfId="914" xr:uid="{626259EC-84AB-473D-93BB-AB4E8F81708E}"/>
    <cellStyle name="40% — akcent 5_grupy" xfId="915" xr:uid="{6011A572-B704-4EFE-9863-9A276052BD81}"/>
    <cellStyle name="40% - akcent 5_slownik" xfId="916" xr:uid="{0638F319-494F-41FC-B88F-2326CE6DD01D}"/>
    <cellStyle name="40% — akcent 5_slownik" xfId="917" xr:uid="{561B4FD6-3CC8-487A-B580-108EA936BB49}"/>
    <cellStyle name="40% - akcent 5_slownik_1" xfId="918" xr:uid="{AA9B8DB3-CA1E-4A37-976B-C56810FEE839}"/>
    <cellStyle name="40% — akcent 5_slownik_1" xfId="919" xr:uid="{23104728-F7E6-4F9C-9383-F8D767C0560D}"/>
    <cellStyle name="40% - akcent 5_slownik_1_slownik" xfId="3423" xr:uid="{37FD5976-2387-4595-8745-D40A82AFCB67}"/>
    <cellStyle name="40% — akcent 5_slownik_1_slownik" xfId="3424" xr:uid="{BF8E4700-B683-4262-8741-CB6815A14870}"/>
    <cellStyle name="40% - akcent 5_slownik_2" xfId="3425" xr:uid="{DC50DF82-3917-4D49-A7B7-F7708B16457E}"/>
    <cellStyle name="40% — akcent 5_slownik_2" xfId="3426" xr:uid="{861F75BC-C74A-4774-90EF-7E6CA9300B1B}"/>
    <cellStyle name="40% - akcent 5_slownik_slownik" xfId="3427" xr:uid="{13650AF3-859C-40E2-AF88-97151E4D2BB1}"/>
    <cellStyle name="40% — akcent 5_slownik_slownik" xfId="3428" xr:uid="{F927BA70-5931-4F7B-8A70-95618A5E914D}"/>
    <cellStyle name="40% - akcent 6" xfId="920" xr:uid="{C920B895-97DE-4A13-A11A-BB5AEB27FD4A}"/>
    <cellStyle name="40% — akcent 6" xfId="921" xr:uid="{5B18829D-28C2-4A70-8A8B-E856A7DF08A7}"/>
    <cellStyle name="40% - akcent 6 10" xfId="922" xr:uid="{4BAFABDF-2528-49C7-8F81-DE4762BD7DEF}"/>
    <cellStyle name="40% - akcent 6 10 2" xfId="2984" xr:uid="{3ADE631F-7726-4734-A25A-FB0A621E7CAA}"/>
    <cellStyle name="40% - akcent 6 11" xfId="923" xr:uid="{5BAED472-AFF3-4C80-B115-E7E0A2402D30}"/>
    <cellStyle name="40% - akcent 6 11 2" xfId="2927" xr:uid="{17CC5C23-81C8-4885-92C7-57C8571B963E}"/>
    <cellStyle name="40% - akcent 6 12" xfId="924" xr:uid="{48F3BBB0-14EE-4262-BF07-D6846BDDDE15}"/>
    <cellStyle name="40% - akcent 6 12 2" xfId="2932" xr:uid="{A9CAFAB9-953B-40AF-9F78-E58040CB9CBF}"/>
    <cellStyle name="40% - akcent 6 13" xfId="925" xr:uid="{23342F56-DDF6-4658-A24B-54C089BF5F71}"/>
    <cellStyle name="40% - akcent 6 13 2" xfId="2668" xr:uid="{D6397406-0584-4648-B5AA-97F7F338254A}"/>
    <cellStyle name="40% - akcent 6 14" xfId="926" xr:uid="{3D8CA6D0-C220-45C2-81F0-C88DA712947E}"/>
    <cellStyle name="40% - akcent 6 14 2" xfId="2997" xr:uid="{B26F796E-6240-4606-AB1D-7D43AE487CE3}"/>
    <cellStyle name="40% - akcent 6 15" xfId="927" xr:uid="{8CFAA768-B258-4B65-B748-2219D230C65B}"/>
    <cellStyle name="40% - akcent 6 15 2" xfId="3052" xr:uid="{CDBC8044-8F5C-48F2-A732-A621D803665E}"/>
    <cellStyle name="40% - akcent 6 16" xfId="928" xr:uid="{6602BC57-E9FE-4D1B-B11B-17A2DE309BE4}"/>
    <cellStyle name="40% - akcent 6 16 2" xfId="2921" xr:uid="{DA193823-E473-48B7-A1E9-E07B7C288EB2}"/>
    <cellStyle name="40% - akcent 6 17" xfId="929" xr:uid="{C36F36F6-C740-412F-9E21-D51A7B92394E}"/>
    <cellStyle name="40% - akcent 6 17 2" xfId="2675" xr:uid="{A8BD5868-001C-4BBA-9680-F14C91033537}"/>
    <cellStyle name="40% - akcent 6 18" xfId="930" xr:uid="{B3856B8D-F565-456E-A00F-CE0C0C49C7A7}"/>
    <cellStyle name="40% - akcent 6 18 2" xfId="3030" xr:uid="{12FDE018-7EF0-4910-AE71-79F6EA6446BD}"/>
    <cellStyle name="40% - akcent 6 19" xfId="931" xr:uid="{CB617E60-576D-4B86-B4F1-E0849CE32344}"/>
    <cellStyle name="40% - akcent 6 19 2" xfId="2621" xr:uid="{35481F8D-1BA5-486F-A163-EF9AB11E93D4}"/>
    <cellStyle name="40% - akcent 6 2" xfId="932" xr:uid="{8B4E6E7A-3626-4366-9235-A6BC35E28BA8}"/>
    <cellStyle name="40% — akcent 6 2" xfId="933" xr:uid="{132C1745-5CB8-4DCD-AA03-C771E7F1163F}"/>
    <cellStyle name="40% - akcent 6 2 2" xfId="934" xr:uid="{BC12D13F-06B0-46C9-B041-1A30C10AA398}"/>
    <cellStyle name="40% — akcent 6 2 2" xfId="2372" xr:uid="{89723935-2921-40CB-A67A-14C97E5DCB59}"/>
    <cellStyle name="40% - akcent 6 2 2 2" xfId="2475" xr:uid="{726AED51-CB8A-4465-8CB7-E71E3F419470}"/>
    <cellStyle name="40% - akcent 6 2 3" xfId="935" xr:uid="{55752C4C-8A8C-4376-ADC0-C8639497E98F}"/>
    <cellStyle name="40% - akcent 6 2 3 2" xfId="2457" xr:uid="{541E474E-F8C1-4D8B-8612-7E11726E13BA}"/>
    <cellStyle name="40% - akcent 6 2 4" xfId="2289" xr:uid="{1DB77108-7099-4F79-8062-63741AACE059}"/>
    <cellStyle name="40% - akcent 6 2_IMPORT" xfId="936" xr:uid="{7DCF57BB-CC8B-4BE5-B452-09FB24115B5B}"/>
    <cellStyle name="40% — akcent 6 2_IMPORT" xfId="937" xr:uid="{3A71D136-4BFB-408A-BBBE-92235506F4BA}"/>
    <cellStyle name="40% - akcent 6 20" xfId="938" xr:uid="{B5881879-75AD-45AF-ABDB-FD2882C53463}"/>
    <cellStyle name="40% - akcent 6 20 2" xfId="3041" xr:uid="{F90CF1E4-15E3-405C-B4B6-6F645DD3A6C2}"/>
    <cellStyle name="40% - akcent 6 21" xfId="939" xr:uid="{D08BF4D3-F24E-4337-8EBB-24D573BB13A8}"/>
    <cellStyle name="40% - akcent 6 21 2" xfId="2614" xr:uid="{DD9E2EFB-E01B-410F-88E6-96B3A0A946EC}"/>
    <cellStyle name="40% - akcent 6 22" xfId="940" xr:uid="{C4FE9F7F-3162-47A7-8186-7EE0637DB08C}"/>
    <cellStyle name="40% - akcent 6 22 2" xfId="2980" xr:uid="{FDA02FEE-8D54-4A95-BC72-9411F3BCCB45}"/>
    <cellStyle name="40% - akcent 6 23" xfId="941" xr:uid="{1F106704-FDB0-407B-8CDE-560C29B62B7E}"/>
    <cellStyle name="40% - akcent 6 23 2" xfId="2644" xr:uid="{14B471E3-AF7B-4E15-AAD8-CBB8FCDE0095}"/>
    <cellStyle name="40% - akcent 6 24" xfId="942" xr:uid="{1864D5E4-1F67-41D9-BF19-6B5EEEBD661A}"/>
    <cellStyle name="40% - akcent 6 24 2" xfId="2772" xr:uid="{5E28C128-EA29-4350-82BB-7DEBE8F1FE02}"/>
    <cellStyle name="40% - akcent 6 25" xfId="943" xr:uid="{9B82F732-6440-4653-BC15-230BBA70E67A}"/>
    <cellStyle name="40% - akcent 6 25 2" xfId="2872" xr:uid="{70610B0C-E01C-4A6D-B99F-8CCC2BCC9C45}"/>
    <cellStyle name="40% - akcent 6 26" xfId="944" xr:uid="{F4CB726F-0CBF-4D50-B07F-189354AEF715}"/>
    <cellStyle name="40% - akcent 6 26 2" xfId="2695" xr:uid="{D219C913-1053-4FBB-AB43-B635E3E23B79}"/>
    <cellStyle name="40% - akcent 6 27" xfId="945" xr:uid="{4F7542CD-5785-4BBF-AB33-FDE22F3E48C7}"/>
    <cellStyle name="40% - akcent 6 27 2" xfId="2762" xr:uid="{9CB1BABC-5423-4475-BBF0-53FBB6549BB7}"/>
    <cellStyle name="40% - akcent 6 28" xfId="946" xr:uid="{D7325C50-9206-48FC-B700-BDE2CFD4F470}"/>
    <cellStyle name="40% - akcent 6 28 2" xfId="3017" xr:uid="{64AE3BBA-A456-4A8C-A16A-EF88C7F8CD2E}"/>
    <cellStyle name="40% - akcent 6 29" xfId="947" xr:uid="{7473C46A-5195-43C8-836D-20DE1E7FBB3D}"/>
    <cellStyle name="40% - akcent 6 29 2" xfId="2822" xr:uid="{FE25561E-696A-44E3-BCEE-EF7AC7F3FD5A}"/>
    <cellStyle name="40% - akcent 6 3" xfId="948" xr:uid="{80940092-B99A-40B7-9E3F-5CB6D3844FA1}"/>
    <cellStyle name="40% — akcent 6 3" xfId="949" xr:uid="{5951B015-FBE0-47A7-A29C-54E56359BFAA}"/>
    <cellStyle name="40% — akcent 6 3 2" xfId="2432" xr:uid="{E55F6B4F-CE94-46CB-92F6-68AEFC1A91E9}"/>
    <cellStyle name="40% - akcent 6 30" xfId="950" xr:uid="{DD608B60-522F-43C3-A2F3-4E81600EAB67}"/>
    <cellStyle name="40% - akcent 6 30 2" xfId="2955" xr:uid="{B308501A-1B1C-4AB0-9139-2C7108D6CC2D}"/>
    <cellStyle name="40% - akcent 6 31" xfId="951" xr:uid="{2F60333A-6A99-4624-8098-38F521A1C46E}"/>
    <cellStyle name="40% - akcent 6 31 2" xfId="2658" xr:uid="{43CE428C-E763-4202-905D-44D6155A9775}"/>
    <cellStyle name="40% - akcent 6 32" xfId="952" xr:uid="{3C90FC65-B704-4D94-849D-97E05A0C3110}"/>
    <cellStyle name="40% - akcent 6 32 2" xfId="2800" xr:uid="{233E72BE-79B1-4CC4-A868-04544FD92B88}"/>
    <cellStyle name="40% - akcent 6 33" xfId="953" xr:uid="{783B91DE-3752-490F-B9FB-79DE4744CC9C}"/>
    <cellStyle name="40% - akcent 6 33 2" xfId="2963" xr:uid="{0998D8C4-80CE-4CBA-83F4-46935039301B}"/>
    <cellStyle name="40% - akcent 6 34" xfId="954" xr:uid="{34E4C114-2E0B-4B17-9F35-FE6142750B35}"/>
    <cellStyle name="40% - akcent 6 34 2" xfId="2652" xr:uid="{B1CC34E1-1B2A-48FD-94E4-0DDB04A4A436}"/>
    <cellStyle name="40% - akcent 6 35" xfId="955" xr:uid="{6800E1D5-473E-456B-9D87-471711899272}"/>
    <cellStyle name="40% - akcent 6 35 2" xfId="2998" xr:uid="{295C3CD2-FEB7-4D67-B19B-A8AAE7555C6C}"/>
    <cellStyle name="40% - akcent 6 36" xfId="956" xr:uid="{6F074C14-7279-4839-840A-8841271B0C0F}"/>
    <cellStyle name="40% - akcent 6 36 2" xfId="2835" xr:uid="{2EF22D4C-388B-439F-8FE7-B923CA03CC4F}"/>
    <cellStyle name="40% - akcent 6 37" xfId="957" xr:uid="{1B7B60E6-534D-4897-AF01-6E4FA0385557}"/>
    <cellStyle name="40% - akcent 6 37 2" xfId="2947" xr:uid="{A0598169-B3D1-489B-9C0B-30219D82CF72}"/>
    <cellStyle name="40% - akcent 6 38" xfId="958" xr:uid="{61CFE940-2A57-4F5D-A7CC-688F5FF88ED3}"/>
    <cellStyle name="40% - akcent 6 38 2" xfId="2662" xr:uid="{84748F3B-5C8B-419A-AA56-83BAADEFA7B7}"/>
    <cellStyle name="40% - akcent 6 39" xfId="959" xr:uid="{DC1FC72C-9853-4D0E-95E9-38A703B6545A}"/>
    <cellStyle name="40% - akcent 6 39 2" xfId="3077" xr:uid="{92A33385-EFA8-4521-96EA-91E03B5AB823}"/>
    <cellStyle name="40% - akcent 6 4" xfId="960" xr:uid="{7B35EF55-0C80-45EE-8F06-2074AFE090FF}"/>
    <cellStyle name="40% — akcent 6 4" xfId="961" xr:uid="{C4265370-3360-450C-B2AA-F019CE5414EB}"/>
    <cellStyle name="40% — akcent 6 4 2" xfId="962" xr:uid="{68D70BCE-EB44-452D-9F24-985BA886ECCA}"/>
    <cellStyle name="40% — akcent 6 4 3" xfId="2404" xr:uid="{2C88BA17-CCC9-4C63-8A84-F0438416CE2B}"/>
    <cellStyle name="40% — akcent 6 4_IMPORT" xfId="963" xr:uid="{F5042C41-321F-4130-9F31-F52FD74B5FC0}"/>
    <cellStyle name="40% - akcent 6 40" xfId="964" xr:uid="{4BF980C3-EE9A-4D3A-9E4E-78CD6708DC3D}"/>
    <cellStyle name="40% - akcent 6 40 2" xfId="2599" xr:uid="{BBF3F797-1F0B-4C19-AB98-89EC900DF72C}"/>
    <cellStyle name="40% - akcent 6 41" xfId="965" xr:uid="{9BF93536-021D-42D7-82B6-7682AE948C22}"/>
    <cellStyle name="40% - akcent 6 41 2" xfId="2903" xr:uid="{F8CCF163-BB08-4928-82C9-FBD9C82EE375}"/>
    <cellStyle name="40% - akcent 6 42" xfId="966" xr:uid="{3C30B176-7481-4F39-8534-04D71EA6A753}"/>
    <cellStyle name="40% - akcent 6 42 2" xfId="2680" xr:uid="{9F42B4DB-F449-42CB-87FA-9C4C223207E7}"/>
    <cellStyle name="40% - akcent 6 43" xfId="967" xr:uid="{63E6C262-B169-4062-B2EF-2A5171CCF15C}"/>
    <cellStyle name="40% - akcent 6 43 2" xfId="2582" xr:uid="{60965754-56D5-455E-B83E-785E9540ADCC}"/>
    <cellStyle name="40% - akcent 6 44" xfId="968" xr:uid="{6BCC35BA-20EC-4783-BA71-B5FA11DED716}"/>
    <cellStyle name="40% - akcent 6 44 2" xfId="3228" xr:uid="{EB9F9C2B-184F-410C-B253-5CCD49F64795}"/>
    <cellStyle name="40% - akcent 6 45" xfId="969" xr:uid="{92E6D4BF-BB89-4F0F-BA24-12C62FB43F7A}"/>
    <cellStyle name="40% - akcent 6 45 2" xfId="3255" xr:uid="{20405C6B-7D00-4048-A273-7EB7DC679BB6}"/>
    <cellStyle name="40% - akcent 6 46" xfId="970" xr:uid="{4DAB734E-FE68-447A-B4C8-DB1E2125CBA5}"/>
    <cellStyle name="40% - akcent 6 46 2" xfId="3214" xr:uid="{810BC89E-B198-4863-B2E4-0997FFE0C6A1}"/>
    <cellStyle name="40% - akcent 6 47" xfId="971" xr:uid="{D9AEC642-BE3C-4C2C-8EDF-C676A154D619}"/>
    <cellStyle name="40% - akcent 6 47 2" xfId="3318" xr:uid="{0B1F899D-C046-4382-8E38-3CD28A01BB9F}"/>
    <cellStyle name="40% - akcent 6 48" xfId="972" xr:uid="{19DD4EDB-D73E-4B36-862F-58D8DFA225CF}"/>
    <cellStyle name="40% - akcent 6 48 2" xfId="3258" xr:uid="{2D5FBC6E-86BE-4C14-AE3B-91ADBCACC355}"/>
    <cellStyle name="40% - akcent 6 49" xfId="973" xr:uid="{21220615-E68E-4F34-A245-0C1F63E28C04}"/>
    <cellStyle name="40% - akcent 6 49 2" xfId="3238" xr:uid="{B90C03D2-F939-472F-8E89-D29F0442FAB1}"/>
    <cellStyle name="40% - akcent 6 5" xfId="974" xr:uid="{941E8E1B-C7DD-4F48-8F87-BFD4F6847D7D}"/>
    <cellStyle name="40% — akcent 6 5" xfId="975" xr:uid="{E3D35D9F-04D2-4814-B4C2-7CBD48239AFA}"/>
    <cellStyle name="40% — akcent 6 5 2" xfId="976" xr:uid="{03069655-EBE0-4D13-9E95-C524BDF4B524}"/>
    <cellStyle name="40% — akcent 6 5 3" xfId="2456" xr:uid="{937B0BCE-20FD-4108-9627-2C0EFF2A0475}"/>
    <cellStyle name="40% — akcent 6 5_IMPORT" xfId="977" xr:uid="{EDE497E0-76BE-4D93-A8CB-EF7F7938609B}"/>
    <cellStyle name="40% - akcent 6 50" xfId="978" xr:uid="{FA21702B-03F2-4752-B8AF-AB9A6C70D39D}"/>
    <cellStyle name="40% - akcent 6 51" xfId="979" xr:uid="{83CF7B3B-AFAA-4616-91D4-AD66FDB780FB}"/>
    <cellStyle name="40% - akcent 6 52" xfId="2288" xr:uid="{0B7AAF33-4D31-4FE3-B9AB-C5AB56E79B45}"/>
    <cellStyle name="40% - akcent 6 6" xfId="980" xr:uid="{AC7726E6-765F-4E0A-AC81-C6B028AE91E9}"/>
    <cellStyle name="40% — akcent 6 6" xfId="981" xr:uid="{0B8AE8EE-36B4-47C8-85F0-ED117EDC1FB1}"/>
    <cellStyle name="40% — akcent 6 6 2" xfId="982" xr:uid="{F54D5D21-A984-4788-85E7-EB04B5898544}"/>
    <cellStyle name="40% — akcent 6 6 3" xfId="3336" xr:uid="{3DC9AEA5-9166-43BC-8552-32134B8505EE}"/>
    <cellStyle name="40% — akcent 6 6_IMPORT" xfId="983" xr:uid="{B86E9B3C-50CE-4A3D-8B95-280CDB071E83}"/>
    <cellStyle name="40% - akcent 6 7" xfId="984" xr:uid="{A9F207BA-5FBD-49B0-AEEC-EA93AB8C0761}"/>
    <cellStyle name="40% - akcent 6 8" xfId="985" xr:uid="{059C6D47-E17B-407E-AA06-6F7A1B5FA4B4}"/>
    <cellStyle name="40% - akcent 6 8 2" xfId="2526" xr:uid="{F6B5149F-E1EA-4C79-92C6-58B723560965}"/>
    <cellStyle name="40% - akcent 6 9" xfId="986" xr:uid="{A8ED02EB-42F3-4F51-ABCB-33C040DB7295}"/>
    <cellStyle name="40% - akcent 6 9 2" xfId="2656" xr:uid="{1BC827DE-041D-48E8-A523-F26FF1332BCD}"/>
    <cellStyle name="40% — akcent 6_03ceny14" xfId="987" xr:uid="{3675CAEA-7DC6-41C3-80EC-6A096030E21C}"/>
    <cellStyle name="40% - akcent 6_03ceny36" xfId="988" xr:uid="{EF528FD5-6503-4945-8B36-FCF566CC6314}"/>
    <cellStyle name="40% — akcent 6_03ceny39" xfId="989" xr:uid="{878EF7E1-89C0-4DF3-A936-2020F9815B95}"/>
    <cellStyle name="40% - akcent 6_Arkusz1" xfId="990" xr:uid="{BED85D4C-4653-43F4-8E9B-D7012B21E96A}"/>
    <cellStyle name="40% — akcent 6_Arkusz1" xfId="3429" xr:uid="{81013802-73C3-4602-B1B1-4808DB97469F}"/>
    <cellStyle name="40% - akcent 6_dodatki" xfId="991" xr:uid="{6AFF4019-58F8-48B7-AE9D-77552C5ED6E9}"/>
    <cellStyle name="40% — akcent 6_dodatki" xfId="992" xr:uid="{2FEAC115-72AF-47E4-94DF-ACD4E487DAEF}"/>
    <cellStyle name="40% - akcent 6_grupy" xfId="993" xr:uid="{33492C01-D5D9-4920-96AA-F07DE201D168}"/>
    <cellStyle name="40% — akcent 6_grupy" xfId="994" xr:uid="{594B0381-4EB9-470C-935E-8212A68B7820}"/>
    <cellStyle name="40% - akcent 6_NSLC0" xfId="995" xr:uid="{E4A797A4-CCFE-497E-B1CD-16677002D05D}"/>
    <cellStyle name="40% — akcent 6_NVersp70" xfId="996" xr:uid="{81DE4AF4-4840-422D-BBB6-AF99EBBC4A2D}"/>
    <cellStyle name="40% - akcent 6_slownik" xfId="997" xr:uid="{883B14C2-4B7D-47A5-A893-CA1F19E776F2}"/>
    <cellStyle name="40% — akcent 6_slownik" xfId="998" xr:uid="{016E29CC-8335-43C7-A1F9-5471B68E2A96}"/>
    <cellStyle name="40% - akcent 6_slownik_1" xfId="999" xr:uid="{9B894CB3-E5F2-4527-88EF-D03EB75DA8A5}"/>
    <cellStyle name="40% — akcent 6_slownik_1" xfId="1000" xr:uid="{7DF64302-9D7C-4AB2-B24B-590FFA738116}"/>
    <cellStyle name="40% - akcent 6_slownik_1_slownik" xfId="3430" xr:uid="{5845AE0A-1129-4102-A0D2-D64AF73FCAF0}"/>
    <cellStyle name="40% — akcent 6_slownik_1_slownik" xfId="3431" xr:uid="{1CBB3EC8-0AD0-4170-8A44-77EFF095C7F4}"/>
    <cellStyle name="40% - akcent 6_slownik_2" xfId="3432" xr:uid="{B372F0F1-77EB-460D-9E04-5FE9B783D42C}"/>
    <cellStyle name="40% — akcent 6_slownik_2" xfId="3433" xr:uid="{B32D6E7B-8821-497D-9754-1AF86A29D929}"/>
    <cellStyle name="40% - akcent 6_slownik_slownik" xfId="3434" xr:uid="{49A2ABDF-4D86-4149-8985-5E09FA04EB2E}"/>
    <cellStyle name="40% — akcent 6_slownik_slownik" xfId="3435" xr:uid="{AD4F9A5A-46CD-4A38-9C94-94094D6CC814}"/>
    <cellStyle name="60 % - Akzent1" xfId="1001" xr:uid="{E805CA12-2FEE-4786-81A3-2833A666BB54}"/>
    <cellStyle name="60 % - Akzent2" xfId="1002" xr:uid="{2CC04F4C-2AD0-4A4B-B0AD-A357FBB1891F}"/>
    <cellStyle name="60 % - Akzent3" xfId="1003" xr:uid="{AE97AB9A-DD12-4771-95A4-2A60D0F9C781}"/>
    <cellStyle name="60 % - Akzent4" xfId="1004" xr:uid="{0F54763A-76BE-44CD-95D9-98973161DDC0}"/>
    <cellStyle name="60 % - Akzent5" xfId="1005" xr:uid="{CEFDFBB8-42E4-44D5-820A-F2879A2DDC5B}"/>
    <cellStyle name="60 % - Akzent6" xfId="1006" xr:uid="{C7B10378-683A-4F34-ADE2-B0BB78B7C409}"/>
    <cellStyle name="60% - Accent1" xfId="1007" xr:uid="{76E5323B-B6EE-4FBC-BDF8-BFAEC450D52A}"/>
    <cellStyle name="60% - Accent1 2" xfId="1008" xr:uid="{1BCFA296-9656-493A-A353-B3C99F3C45EB}"/>
    <cellStyle name="60% - Accent1_slownik" xfId="1009" xr:uid="{68231B80-4E43-45A7-BE4A-91863C454C0B}"/>
    <cellStyle name="60% - Accent2" xfId="1010" xr:uid="{D70BDB4B-0B19-4371-9198-0533D080CF93}"/>
    <cellStyle name="60% - Accent2 2" xfId="1011" xr:uid="{8DCF22A5-570B-4682-A520-E5B4F5713FFC}"/>
    <cellStyle name="60% - Accent2_slownik" xfId="1012" xr:uid="{005F966C-9757-4D38-9C9A-0CC2E69B0DBF}"/>
    <cellStyle name="60% - Accent3" xfId="1013" xr:uid="{B22329A4-8E17-4849-9714-D8E919283702}"/>
    <cellStyle name="60% - Accent3 2" xfId="1014" xr:uid="{44D0D457-FBA5-4332-BB20-E90A5A006149}"/>
    <cellStyle name="60% - Accent3_slownik" xfId="1015" xr:uid="{FFC83066-7B7F-407F-984D-C08C5E966CD7}"/>
    <cellStyle name="60% - Accent4" xfId="1016" xr:uid="{2418AF86-CEED-45A8-A614-F5D98118C2CF}"/>
    <cellStyle name="60% - Accent4 2" xfId="1017" xr:uid="{B4CF06F2-F20D-437C-860B-3CF0AF494275}"/>
    <cellStyle name="60% - Accent4_slownik" xfId="1018" xr:uid="{E57756DE-712E-42B9-9026-1D417D0E77D0}"/>
    <cellStyle name="60% - Accent5" xfId="1019" xr:uid="{9C734BFB-6176-4F51-B26C-22A3B1CBBBDF}"/>
    <cellStyle name="60% - Accent5 2" xfId="1020" xr:uid="{6B33A369-8478-41EA-9233-BBDF4E9E0287}"/>
    <cellStyle name="60% - Accent5_slownik" xfId="1021" xr:uid="{4A0268FA-0C7F-4EB2-8B18-5FC499CB4F24}"/>
    <cellStyle name="60% - Accent6" xfId="1022" xr:uid="{0A7C5E20-81FF-47E5-BFDC-5D6F01DF89D0}"/>
    <cellStyle name="60% - Accent6 2" xfId="1023" xr:uid="{45F062EA-FB50-4FBD-9C54-4830CFDCBEA9}"/>
    <cellStyle name="60% - Accent6_slownik" xfId="1024" xr:uid="{C5C87FC3-C7AF-426A-9EB2-4661107CC5EE}"/>
    <cellStyle name="60% - akcent 1" xfId="1025" xr:uid="{0BED07F6-4EE0-4620-A607-BD5AC33E1277}"/>
    <cellStyle name="60% — akcent 1" xfId="1026" xr:uid="{4B3FD1D5-711A-4186-9AD3-0373A8144C6C}"/>
    <cellStyle name="60% - akcent 1 10" xfId="1027" xr:uid="{417D2BF1-692E-4042-979A-62C2473259FC}"/>
    <cellStyle name="60% - akcent 1 10 2" xfId="3093" xr:uid="{1BC6E420-10C8-456A-92E9-F9CE0D998770}"/>
    <cellStyle name="60% - akcent 1 11" xfId="1028" xr:uid="{C5D17F77-FA62-4E58-91EB-B7135B63E9A1}"/>
    <cellStyle name="60% - akcent 1 11 2" xfId="2910" xr:uid="{E00577D4-76B0-49E9-9D96-19EB9C8598E6}"/>
    <cellStyle name="60% - akcent 1 12" xfId="1029" xr:uid="{E3B334E7-2FE8-4CFC-8B37-671C8DF5033E}"/>
    <cellStyle name="60% - akcent 1 12 2" xfId="3059" xr:uid="{5EB3C012-D9E7-4558-BC14-8666DFED66F0}"/>
    <cellStyle name="60% - akcent 1 13" xfId="1030" xr:uid="{8B940101-331D-45A3-950C-BCE54F16B3AD}"/>
    <cellStyle name="60% - akcent 1 13 2" xfId="3033" xr:uid="{DE10E73B-9654-47B8-A7B7-BF36F3DE18A7}"/>
    <cellStyle name="60% - akcent 1 14" xfId="1031" xr:uid="{03A6055D-E4AF-42DD-BA93-E324753D914C}"/>
    <cellStyle name="60% - akcent 1 14 2" xfId="3004" xr:uid="{3A104F33-F2B4-4FA0-A43F-FA6896DF3A9C}"/>
    <cellStyle name="60% - akcent 1 15" xfId="1032" xr:uid="{FE46FCC9-C0E5-445B-9D3D-B629F394F2B8}"/>
    <cellStyle name="60% - akcent 1 15 2" xfId="2833" xr:uid="{11128824-EBCC-4BE4-848F-2DCEE162165D}"/>
    <cellStyle name="60% - akcent 1 16" xfId="1033" xr:uid="{B7349728-A444-4DF8-80C2-9E9F37F88066}"/>
    <cellStyle name="60% - akcent 1 16 2" xfId="2949" xr:uid="{2650D737-B500-41C6-B57F-1AAE8A5E280B}"/>
    <cellStyle name="60% - akcent 1 17" xfId="1034" xr:uid="{927215E7-A299-4599-A8C9-C12FB70A2390}"/>
    <cellStyle name="60% - akcent 1 17 2" xfId="2930" xr:uid="{7B701A96-5A26-40BD-984C-67BB9D2DC570}"/>
    <cellStyle name="60% - akcent 1 18" xfId="1035" xr:uid="{26D2DDC2-CF68-40DC-BFAF-332BDCEAE661}"/>
    <cellStyle name="60% - akcent 1 18 2" xfId="2931" xr:uid="{72CEC4C2-9B26-47EF-B172-01E5B7F1EF89}"/>
    <cellStyle name="60% - akcent 1 19" xfId="1036" xr:uid="{3BDAA27F-E83D-4A18-A610-5698FC27436E}"/>
    <cellStyle name="60% - akcent 1 19 2" xfId="2669" xr:uid="{0E055DE4-DD1E-48A7-862F-325655DAB395}"/>
    <cellStyle name="60% - akcent 1 2" xfId="1037" xr:uid="{102C36C9-A2F0-41AE-AB06-DD2810040A7B}"/>
    <cellStyle name="60% — akcent 1 2" xfId="1038" xr:uid="{5070DB28-E8D0-4CB9-B108-755D53CF262B}"/>
    <cellStyle name="60% - akcent 1 2 2" xfId="1039" xr:uid="{3A859276-3BE6-46B8-A9CD-D3184D7E9871}"/>
    <cellStyle name="60% — akcent 1 2 2" xfId="2373" xr:uid="{54EF8241-678A-497B-A159-050196C2F26A}"/>
    <cellStyle name="60% - akcent 1 2 3" xfId="1040" xr:uid="{D9F61614-CD6F-4666-A625-9E179F3C17CA}"/>
    <cellStyle name="60% — akcent 1 2_IMPORT" xfId="1041" xr:uid="{785B3CA5-BDDA-43C0-AC1C-C3814F2CB7DC}"/>
    <cellStyle name="60% - akcent 1 20" xfId="1042" xr:uid="{D0844647-8B04-4074-9F1F-987080F3F9CD}"/>
    <cellStyle name="60% - akcent 1 20 2" xfId="3089" xr:uid="{7B7A099D-B05C-453A-970B-DB21E2D2070F}"/>
    <cellStyle name="60% - akcent 1 21" xfId="1043" xr:uid="{A0192441-427F-480F-957D-67795EEDD41C}"/>
    <cellStyle name="60% - akcent 1 21 2" xfId="2812" xr:uid="{FEFAABBF-221F-480C-AF58-5D0A5AB1772D}"/>
    <cellStyle name="60% - akcent 1 22" xfId="1044" xr:uid="{1DCB3BEF-27AE-44F1-B244-25803F1DBA99}"/>
    <cellStyle name="60% - akcent 1 22 2" xfId="2718" xr:uid="{DFE90459-FB29-429C-B4EF-14138E4CFA38}"/>
    <cellStyle name="60% - akcent 1 23" xfId="1045" xr:uid="{1EA4B614-5FF7-437E-895A-12355C4902B9}"/>
    <cellStyle name="60% - akcent 1 23 2" xfId="3021" xr:uid="{5847C624-E575-439D-839E-5798A2B8D14C}"/>
    <cellStyle name="60% - akcent 1 24" xfId="1046" xr:uid="{B209E7D1-2B14-4704-8BB4-6D73DE471658}"/>
    <cellStyle name="60% - akcent 1 24 2" xfId="2627" xr:uid="{F59E6D7B-F6FC-48B0-98A7-661E190D0558}"/>
    <cellStyle name="60% - akcent 1 25" xfId="1047" xr:uid="{E6DB11F4-D21A-4984-B551-9D1C9E1432EF}"/>
    <cellStyle name="60% - akcent 1 25 2" xfId="2778" xr:uid="{F4F236A5-9C23-48AB-959D-57007519EEAE}"/>
    <cellStyle name="60% - akcent 1 26" xfId="1048" xr:uid="{7DDAF56B-068A-447A-8D75-4B60B0CFA250}"/>
    <cellStyle name="60% - akcent 1 26 2" xfId="2871" xr:uid="{C3BF8EF6-3F1A-43C7-A7E0-869C75F071E7}"/>
    <cellStyle name="60% - akcent 1 27" xfId="1049" xr:uid="{D1C00127-2722-4021-9C58-9365120E6711}"/>
    <cellStyle name="60% - akcent 1 27 2" xfId="3064" xr:uid="{3D32A7FB-7AAD-4C42-A835-7F36C0FB9EE7}"/>
    <cellStyle name="60% - akcent 1 28" xfId="1050" xr:uid="{AB5EC810-6E3A-4F97-AACA-BA0706709B0F}"/>
    <cellStyle name="60% - akcent 1 28 2" xfId="2601" xr:uid="{2B40B2D0-AB4B-4F57-BBAE-B74A2E67456D}"/>
    <cellStyle name="60% - akcent 1 29" xfId="1051" xr:uid="{1924E400-F811-437C-B928-5233A1A1A20B}"/>
    <cellStyle name="60% - akcent 1 29 2" xfId="2789" xr:uid="{A63AA8FB-D212-4835-9645-CDB0618A637E}"/>
    <cellStyle name="60% - akcent 1 3" xfId="1052" xr:uid="{6CF55FC7-505A-4F7B-B338-368765D02F2B}"/>
    <cellStyle name="60% — akcent 1 3" xfId="1053" xr:uid="{1F55FC89-AD21-4FA4-B264-1DE4CA1DEEBC}"/>
    <cellStyle name="60% - akcent 1 30" xfId="1054" xr:uid="{6612FE1C-E22D-4316-823B-789A4364D4F2}"/>
    <cellStyle name="60% - akcent 1 30 2" xfId="2996" xr:uid="{65E43C56-2A5B-424C-861B-E1E1BBA69550}"/>
    <cellStyle name="60% - akcent 1 31" xfId="1055" xr:uid="{3C73AA10-8091-47BB-BE44-5A46F05930EC}"/>
    <cellStyle name="60% - akcent 1 31 2" xfId="2924" xr:uid="{3D1C3F39-8B3F-4EA7-9E97-539CC8DB280E}"/>
    <cellStyle name="60% - akcent 1 32" xfId="1056" xr:uid="{7062D0D9-30E6-4C57-AD02-0C8087BC3D8B}"/>
    <cellStyle name="60% - akcent 1 32 2" xfId="2672" xr:uid="{2C1D8AAB-6A38-4288-89E9-5E75709A286D}"/>
    <cellStyle name="60% - akcent 1 33" xfId="1057" xr:uid="{BCD541A6-9811-4D77-AC9B-575A8C410CFC}"/>
    <cellStyle name="60% - akcent 1 33 2" xfId="2907" xr:uid="{D816995D-2068-4F11-B3C5-082B35D04D42}"/>
    <cellStyle name="60% - akcent 1 34" xfId="1058" xr:uid="{E17DC649-9FB1-4391-B137-27F38C0DCD32}"/>
    <cellStyle name="60% - akcent 1 34 2" xfId="2679" xr:uid="{DF5CE9EA-09B6-48F5-8241-306A366E2040}"/>
    <cellStyle name="60% - akcent 1 35" xfId="1059" xr:uid="{BD3EABDF-F7F5-4C9B-965A-D9B4E05FF936}"/>
    <cellStyle name="60% - akcent 1 35 2" xfId="3091" xr:uid="{48B20C22-D34E-4A67-B311-82B7CAADB9DC}"/>
    <cellStyle name="60% - akcent 1 36" xfId="1060" xr:uid="{18B325B5-C201-4FFA-9E8E-A63F2B1F5ECA}"/>
    <cellStyle name="60% - akcent 1 36 2" xfId="3043" xr:uid="{5676D1BA-25CF-4585-AB01-0DC1B2C0433A}"/>
    <cellStyle name="60% - akcent 1 37" xfId="1061" xr:uid="{17FFA573-1060-4C83-B3B2-22F1B6191960}"/>
    <cellStyle name="60% - akcent 1 37 2" xfId="2819" xr:uid="{7EE6A88A-0EDA-4DE6-9A39-62BC103669EE}"/>
    <cellStyle name="60% - akcent 1 38" xfId="1062" xr:uid="{AF828F3F-B341-455D-A82E-FF0680E10666}"/>
    <cellStyle name="60% - akcent 1 38 2" xfId="2864" xr:uid="{BAFA0B04-C63E-4ECD-89B1-1162704D929E}"/>
    <cellStyle name="60% - akcent 1 39" xfId="1063" xr:uid="{D785691A-7D78-453B-8605-59E405B1AE65}"/>
    <cellStyle name="60% - akcent 1 39 2" xfId="2702" xr:uid="{837006AC-594E-41EC-B4E2-C5449B4386EE}"/>
    <cellStyle name="60% - akcent 1 4" xfId="1064" xr:uid="{4F8D3C4A-4420-41BC-83FA-8B01E19257BD}"/>
    <cellStyle name="60% — akcent 1 4" xfId="1065" xr:uid="{815426E5-9F32-4734-BD98-E4CFE5FF670B}"/>
    <cellStyle name="60% — akcent 1 4 2" xfId="1066" xr:uid="{DC151020-D713-45ED-B2EC-D98B184081FD}"/>
    <cellStyle name="60% - akcent 1 40" xfId="1067" xr:uid="{DAE372FE-0DF4-4C1E-9C7D-DDFFFB3544BA}"/>
    <cellStyle name="60% - akcent 1 40 2" xfId="2976" xr:uid="{65ED12A9-504E-4F77-8D0F-07DF3BF12929}"/>
    <cellStyle name="60% - akcent 1 41" xfId="1068" xr:uid="{4CFB8D4F-F38D-4108-BF60-58255541656D}"/>
    <cellStyle name="60% - akcent 1 41 2" xfId="3113" xr:uid="{51AC9D97-C4A4-4100-8B3E-2D7013FCED9D}"/>
    <cellStyle name="60% - akcent 1 42" xfId="1069" xr:uid="{7CE13947-7196-46DE-A9FE-1F368DB84A0A}"/>
    <cellStyle name="60% - akcent 1 42 2" xfId="3119" xr:uid="{53B976D1-BB76-41A8-8791-738B7FA1142C}"/>
    <cellStyle name="60% - akcent 1 43" xfId="1070" xr:uid="{6A3B60D4-AAE1-40EA-8BC4-9ABA9DE22062}"/>
    <cellStyle name="60% - akcent 1 43 2" xfId="3125" xr:uid="{0CEAFF21-5668-49BE-8303-4A5277A07EB4}"/>
    <cellStyle name="60% - akcent 1 44" xfId="1071" xr:uid="{8C53A8A8-A7B1-4BFD-8F96-4030005BA0FC}"/>
    <cellStyle name="60% - akcent 1 44 2" xfId="3231" xr:uid="{78B4F994-B239-4D33-B413-DAA48F3D6351}"/>
    <cellStyle name="60% - akcent 1 45" xfId="1072" xr:uid="{8D9BE199-A192-494F-8F63-A90B92BC51D0}"/>
    <cellStyle name="60% - akcent 1 45 2" xfId="3283" xr:uid="{904873C3-4459-44AF-96C2-315E40AB9DF5}"/>
    <cellStyle name="60% - akcent 1 46" xfId="1073" xr:uid="{9281ED0E-6C6B-4F58-9521-A41C93D69BF8}"/>
    <cellStyle name="60% - akcent 1 46 2" xfId="3316" xr:uid="{13FD294D-3CFA-4B76-B523-38781BF28663}"/>
    <cellStyle name="60% - akcent 1 47" xfId="1074" xr:uid="{F08B56E8-0B3E-48CE-AC17-1F6489AB1C10}"/>
    <cellStyle name="60% - akcent 1 47 2" xfId="3287" xr:uid="{33E8F7D9-204B-4CD1-A9B4-7BF7136111C4}"/>
    <cellStyle name="60% - akcent 1 48" xfId="1075" xr:uid="{652B6E89-7CB1-4D19-92BF-BBB5E5B984B2}"/>
    <cellStyle name="60% - akcent 1 48 2" xfId="3275" xr:uid="{13F2ABE8-6B02-436A-8B65-47B28799EB4D}"/>
    <cellStyle name="60% - akcent 1 49" xfId="1076" xr:uid="{9D38212E-582A-42C4-999A-682667C998AF}"/>
    <cellStyle name="60% - akcent 1 49 2" xfId="3260" xr:uid="{C05C2478-D6A3-4BD0-9B21-468AEC32AC4B}"/>
    <cellStyle name="60% - akcent 1 5" xfId="1077" xr:uid="{45BD09A1-5B6F-4083-97B3-8A13DE6FE5ED}"/>
    <cellStyle name="60% — akcent 1 5" xfId="1078" xr:uid="{1F45D1B0-9164-4E55-94D1-40CF16395368}"/>
    <cellStyle name="60% — akcent 1 5 2" xfId="1079" xr:uid="{4458EB62-0C00-4D9C-88CA-22635DEDC960}"/>
    <cellStyle name="60% - akcent 1 50" xfId="1080" xr:uid="{33C53F9F-F9CF-4638-9928-C953BDC55D88}"/>
    <cellStyle name="60% - akcent 1 51" xfId="1081" xr:uid="{B81FF3F8-63DD-4963-8472-9717D2C668A1}"/>
    <cellStyle name="60% - akcent 1 52" xfId="2290" xr:uid="{E709DFE3-2367-414F-B931-64175E0B24FC}"/>
    <cellStyle name="60% - akcent 1 6" xfId="1082" xr:uid="{313AA6E7-292D-4EDF-8F94-F8AB87BE1AF7}"/>
    <cellStyle name="60% — akcent 1 6" xfId="1083" xr:uid="{23C323CF-F4B3-4C6B-90D7-08BAFCD5ADE5}"/>
    <cellStyle name="60% - akcent 1 7" xfId="1084" xr:uid="{8FA442F1-DD74-4681-BBDC-3FF4EBB53611}"/>
    <cellStyle name="60% - akcent 1 8" xfId="1085" xr:uid="{291F0570-3DF6-4770-B547-013B6724A1F1}"/>
    <cellStyle name="60% - akcent 1 8 2" xfId="2527" xr:uid="{3330A114-2A08-47BB-AF0A-D373A8A0B2FA}"/>
    <cellStyle name="60% - akcent 1 9" xfId="1086" xr:uid="{5A850C82-9F8B-4EB7-90D7-3E316F4DC788}"/>
    <cellStyle name="60% - akcent 1 9 2" xfId="2666" xr:uid="{90FEC2AC-3D5E-45E7-8BC4-9DADE1A9C6C8}"/>
    <cellStyle name="60% — akcent 1_03ceny14" xfId="1087" xr:uid="{D145B50C-65D4-4964-BD18-829228F4472E}"/>
    <cellStyle name="60% - akcent 1_03ceny36" xfId="1088" xr:uid="{9EBAD24B-80DB-488D-9EDE-2577776F7C42}"/>
    <cellStyle name="60% — akcent 1_03ceny39" xfId="1089" xr:uid="{82B1F74A-2481-440D-8B53-AB5C32B1996F}"/>
    <cellStyle name="60% - akcent 1_Arkusz1" xfId="1090" xr:uid="{7C8096B5-EAC4-4588-9304-6E347C220868}"/>
    <cellStyle name="60% — akcent 1_Arkusz1" xfId="3436" xr:uid="{6888582B-CAFC-4ACD-9F89-11C3CA68A26E}"/>
    <cellStyle name="60% - akcent 1_dodatki" xfId="1091" xr:uid="{2AD92DAD-4EB1-4F16-8544-0F86227C4EFB}"/>
    <cellStyle name="60% — akcent 1_dodatki" xfId="1092" xr:uid="{F180A585-D789-4F65-AF06-A0E24B7C652E}"/>
    <cellStyle name="60% - akcent 1_grupy" xfId="1093" xr:uid="{86FF2FBD-1EC2-466D-B4FD-E9783E3F1F45}"/>
    <cellStyle name="60% — akcent 1_grupy" xfId="1094" xr:uid="{7F7012E6-AF6D-4558-82B8-16FC04D6A475}"/>
    <cellStyle name="60% - akcent 1_NFoto4" xfId="1095" xr:uid="{CAC2AB4B-3A9C-4365-81D9-477263AF2700}"/>
    <cellStyle name="60% — akcent 1_NFoto4" xfId="1096" xr:uid="{92F13635-452A-4C01-8BE0-22D797B72319}"/>
    <cellStyle name="60% - akcent 1_NVersp50" xfId="1097" xr:uid="{C30AB6F5-5CBF-4944-93F0-CA12D29A995E}"/>
    <cellStyle name="60% — akcent 1_NVersp70" xfId="1098" xr:uid="{21FA7D5B-E901-4390-96D6-AB7D5D88E0E8}"/>
    <cellStyle name="60% - akcent 1_slownik" xfId="1099" xr:uid="{8B00D5B3-A9B2-4DF4-B166-B4609C4B6C3B}"/>
    <cellStyle name="60% — akcent 1_slownik" xfId="1100" xr:uid="{AEECCEF8-4C29-4967-A899-3261BC76052A}"/>
    <cellStyle name="60% - akcent 1_slownik_1" xfId="1101" xr:uid="{68AF4673-A98C-4B7A-A687-FBAF23038856}"/>
    <cellStyle name="60% — akcent 1_slownik_1" xfId="1102" xr:uid="{7E7E277A-A7A3-4E76-AFD7-63922CFD94A5}"/>
    <cellStyle name="60% - akcent 1_slownik_1_slownik" xfId="3437" xr:uid="{6D887F3F-9FED-4FC1-9664-EE8EB7AB6E74}"/>
    <cellStyle name="60% — akcent 1_slownik_1_slownik" xfId="3438" xr:uid="{958FD597-C148-46A4-906B-E9F57500D579}"/>
    <cellStyle name="60% - akcent 1_slownik_2" xfId="3439" xr:uid="{48ED1560-812F-43B0-99AB-E43E66C9FB31}"/>
    <cellStyle name="60% — akcent 1_slownik_2" xfId="3440" xr:uid="{3174E572-B3B5-4F73-9134-400009144D9D}"/>
    <cellStyle name="60% - akcent 1_slownik_slownik" xfId="3441" xr:uid="{81AA031D-F1A2-4307-AA4F-FC10F660BEFD}"/>
    <cellStyle name="60% — akcent 1_slownik_slownik" xfId="3442" xr:uid="{B65A038A-1184-4E70-A668-EDEF6E9C84A7}"/>
    <cellStyle name="60% - akcent 2" xfId="1103" xr:uid="{3BC2970D-EB61-45C1-8E24-4303DCE0AE4F}"/>
    <cellStyle name="60% — akcent 2" xfId="1104" xr:uid="{2ACBFFC0-138C-4B3D-A5ED-D78D4EA2F894}"/>
    <cellStyle name="60% - akcent 2 10" xfId="1105" xr:uid="{48D577DF-4447-4B4E-965F-D4250229A15D}"/>
    <cellStyle name="60% - akcent 2 10 2" xfId="2798" xr:uid="{BD2182EE-EE1E-477E-B6AD-341F834EBD85}"/>
    <cellStyle name="60% - akcent 2 11" xfId="1106" xr:uid="{AA2993FB-42E5-4F6B-BE14-57DCAAE09CCD}"/>
    <cellStyle name="60% - akcent 2 11 2" xfId="2965" xr:uid="{77624E05-93F4-4330-B214-5C0F8B800E18}"/>
    <cellStyle name="60% - akcent 2 12" xfId="1107" xr:uid="{FE1B773F-E595-4BAE-927B-3C5E1AAD2FE3}"/>
    <cellStyle name="60% - akcent 2 12 2" xfId="3055" xr:uid="{9E8B1CFB-A2E0-469B-BB7F-9AD82BB05795}"/>
    <cellStyle name="60% - akcent 2 13" xfId="1108" xr:uid="{8547F057-77EB-4EAB-9E00-758947177BE5}"/>
    <cellStyle name="60% - akcent 2 13 2" xfId="2606" xr:uid="{7AC42F5F-ED34-4B72-BD1E-7DF2DCFC6724}"/>
    <cellStyle name="60% - akcent 2 14" xfId="1109" xr:uid="{6C1F8EFE-2DE4-4EC9-8D90-F24FC325E530}"/>
    <cellStyle name="60% - akcent 2 14 2" xfId="2902" xr:uid="{3CE7670D-0633-4855-A937-BB9867B3AD69}"/>
    <cellStyle name="60% - akcent 2 15" xfId="1110" xr:uid="{0F96E50D-1DDE-4A5A-B833-F3DC9A4252A5}"/>
    <cellStyle name="60% - akcent 2 15 2" xfId="2682" xr:uid="{75B8BA18-81E4-463E-B77E-A2784F516AE5}"/>
    <cellStyle name="60% - akcent 2 16" xfId="1111" xr:uid="{A8456652-9C6D-4050-BCD4-73E307BB4EC1}"/>
    <cellStyle name="60% - akcent 2 16 2" xfId="2766" xr:uid="{0DD88D32-BAE6-4F79-B145-DBEC8A450BC8}"/>
    <cellStyle name="60% - akcent 2 17" xfId="1112" xr:uid="{35EC0046-F87D-46F0-BBED-F9CD206948E2}"/>
    <cellStyle name="60% - akcent 2 17 2" xfId="2967" xr:uid="{DF6280C0-4603-48E5-BAA8-8AFB2AB26A71}"/>
    <cellStyle name="60% - akcent 2 18" xfId="1113" xr:uid="{74D885CD-E3DF-4F55-9EC4-F8E96AAB84C1}"/>
    <cellStyle name="60% - akcent 2 18 2" xfId="3035" xr:uid="{DA0AAAA8-6727-4553-9CFF-BB4CE258F3DB}"/>
    <cellStyle name="60% - akcent 2 19" xfId="1114" xr:uid="{8FF7C2CA-8CA7-4AFA-B6C7-11888E744B35}"/>
    <cellStyle name="60% - akcent 2 19 2" xfId="2820" xr:uid="{2B9AC243-619C-49CA-9CCF-DC4289F7AD5C}"/>
    <cellStyle name="60% - akcent 2 2" xfId="1115" xr:uid="{CCC98D03-C7E7-477F-BE13-638D01C7A585}"/>
    <cellStyle name="60% — akcent 2 2" xfId="1116" xr:uid="{D57B5039-C192-406F-84A1-AC7206767ED2}"/>
    <cellStyle name="60% — akcent 2 2 2" xfId="2374" xr:uid="{70C2DEE2-79C7-4B0C-AC4A-11A9E03B1AFE}"/>
    <cellStyle name="60% - akcent 2 20" xfId="1117" xr:uid="{9823000A-634D-473F-A0E7-811C25ED574A}"/>
    <cellStyle name="60% - akcent 2 20 2" xfId="2957" xr:uid="{3147A0D9-B397-4BA1-8795-539C8847C2C0}"/>
    <cellStyle name="60% - akcent 2 21" xfId="1118" xr:uid="{97FE7984-0E4C-4490-9E34-D54ACA17FA66}"/>
    <cellStyle name="60% - akcent 2 21 2" xfId="3096" xr:uid="{7CAFC60B-8896-4DD4-A507-6AEFB12C2DB0}"/>
    <cellStyle name="60% - akcent 2 22" xfId="1119" xr:uid="{A10EC9C5-16A2-4500-8775-2E5FBFFE762F}"/>
    <cellStyle name="60% - akcent 2 22 2" xfId="3094" xr:uid="{3662795C-A86C-4287-9EBB-0802554DFB59}"/>
    <cellStyle name="60% - akcent 2 23" xfId="1120" xr:uid="{E49205AD-095D-4B2C-BBAB-ECF871A98C30}"/>
    <cellStyle name="60% - akcent 2 23 2" xfId="2592" xr:uid="{1B79EB0D-C455-42DC-A4CA-1ACDA3BCABE9}"/>
    <cellStyle name="60% - akcent 2 24" xfId="1121" xr:uid="{8DF95482-ADF6-40A0-AE2E-F30596A6CDE8}"/>
    <cellStyle name="60% - akcent 2 24 2" xfId="2794" xr:uid="{68C9DFA7-BCF5-4724-A991-1C08E5EBD578}"/>
    <cellStyle name="60% - akcent 2 25" xfId="1122" xr:uid="{6B8606A5-C387-4E5E-9FD4-1888A278D394}"/>
    <cellStyle name="60% - akcent 2 25 2" xfId="2723" xr:uid="{2C1D1A92-2D1E-40AC-84E6-405D9DC59187}"/>
    <cellStyle name="60% - akcent 2 26" xfId="1123" xr:uid="{303F7652-3E43-482F-938F-A9D026B9E37C}"/>
    <cellStyle name="60% - akcent 2 26 2" xfId="2752" xr:uid="{A49CD6C0-F192-46BD-ADFE-3BD8E58681C3}"/>
    <cellStyle name="60% - akcent 2 27" xfId="1124" xr:uid="{E1E8BFBF-E97D-4C70-8E59-9149F4912ADE}"/>
    <cellStyle name="60% - akcent 2 27 2" xfId="2987" xr:uid="{E2EC7F8D-0B27-4776-84B9-FD1AD68C077D}"/>
    <cellStyle name="60% - akcent 2 28" xfId="1125" xr:uid="{FC6E70B5-2B21-4492-B354-5107557DAFCD}"/>
    <cellStyle name="60% - akcent 2 28 2" xfId="3053" xr:uid="{4EDC86F5-AC73-43BE-9003-4B9EFEC07282}"/>
    <cellStyle name="60% - akcent 2 29" xfId="1126" xr:uid="{C16D04B8-AD3E-4DA9-B9F5-166A1DED3CF1}"/>
    <cellStyle name="60% - akcent 2 29 2" xfId="2608" xr:uid="{648DB569-B613-49B2-976C-70D95958195F}"/>
    <cellStyle name="60% - akcent 2 3" xfId="1127" xr:uid="{8B263EB4-32C5-4323-AD06-6D57744DB760}"/>
    <cellStyle name="60% — akcent 2 3" xfId="1128" xr:uid="{3AC04598-BA0A-4306-A530-F3F59C90CC46}"/>
    <cellStyle name="60% - akcent 2 30" xfId="1129" xr:uid="{B67F3807-783F-4589-B495-3D75DF16853A}"/>
    <cellStyle name="60% - akcent 2 30 2" xfId="3082" xr:uid="{1A5CC361-203C-4120-8AD8-7CB420A1FAAB}"/>
    <cellStyle name="60% - akcent 2 31" xfId="1130" xr:uid="{8D81E20F-1206-4BC6-97A4-95851EC68C22}"/>
    <cellStyle name="60% - akcent 2 31 2" xfId="2915" xr:uid="{0ED9070C-7980-4635-ACE2-DEEBAA1815F8}"/>
    <cellStyle name="60% - akcent 2 32" xfId="1131" xr:uid="{03B4B74A-E682-4C22-95B2-F22E27AEBF5E}"/>
    <cellStyle name="60% - akcent 2 32 2" xfId="3101" xr:uid="{26BF61CA-AF06-4121-B954-EEB1B954236E}"/>
    <cellStyle name="60% - akcent 2 33" xfId="1132" xr:uid="{0BA8553A-B9A8-4F01-BD68-86A7A4948732}"/>
    <cellStyle name="60% - akcent 2 33 2" xfId="2590" xr:uid="{82C4A236-2F7C-4690-AA66-134151172640}"/>
    <cellStyle name="60% - akcent 2 34" xfId="1133" xr:uid="{4966DFDA-ACD8-4714-B0BB-7E1FF62DCED4}"/>
    <cellStyle name="60% - akcent 2 34 2" xfId="2982" xr:uid="{AE3808AA-E3E6-42A8-AC59-ABC3432539F8}"/>
    <cellStyle name="60% - akcent 2 35" xfId="1134" xr:uid="{B81281D4-EC2A-4082-8098-E167EA6736E4}"/>
    <cellStyle name="60% - akcent 2 35 2" xfId="2641" xr:uid="{912D3656-15DD-44DF-B622-9BC7D6B32FE5}"/>
    <cellStyle name="60% - akcent 2 36" xfId="1135" xr:uid="{FE82429F-6956-4A0B-86ED-1872C5D7D52D}"/>
    <cellStyle name="60% - akcent 2 36 2" xfId="2978" xr:uid="{BF4336A3-DBEF-4A7F-B325-18740B2F0665}"/>
    <cellStyle name="60% - akcent 2 37" xfId="1136" xr:uid="{5F009356-CF68-4B8A-A06F-71270101FDCB}"/>
    <cellStyle name="60% - akcent 2 37 2" xfId="2837" xr:uid="{F7E4A305-A3DF-4341-90FA-CFCF527FEA5B}"/>
    <cellStyle name="60% - akcent 2 38" xfId="1137" xr:uid="{9957D981-4BFF-4996-8E2F-FFB63BA76E79}"/>
    <cellStyle name="60% - akcent 2 38 2" xfId="2712" xr:uid="{30D9AD86-FA9B-4808-BCD7-A7EBEBF422DF}"/>
    <cellStyle name="60% - akcent 2 39" xfId="1138" xr:uid="{BE38DA93-52D5-4F56-9F29-4AD186FEA498}"/>
    <cellStyle name="60% - akcent 2 39 2" xfId="2886" xr:uid="{7086C0A2-37DA-4D1C-8F0A-4D76C8440B68}"/>
    <cellStyle name="60% - akcent 2 4" xfId="1139" xr:uid="{81DAF531-C82B-4DE1-A2BC-DC3B6F5E0382}"/>
    <cellStyle name="60% — akcent 2 4" xfId="1140" xr:uid="{3A7B81C3-343F-4B9E-87AB-4F861E6C45A6}"/>
    <cellStyle name="60% - akcent 2 40" xfId="1141" xr:uid="{3AE33FA5-EF57-433B-BB3D-0E47D064930D}"/>
    <cellStyle name="60% - akcent 2 40 2" xfId="3104" xr:uid="{F865FDD4-B8B7-406F-889C-C12C5C25D8A1}"/>
    <cellStyle name="60% - akcent 2 41" xfId="1142" xr:uid="{B621E52F-1900-4AE2-9D4B-92026A5FE46C}"/>
    <cellStyle name="60% - akcent 2 41 2" xfId="2808" xr:uid="{6754ED7F-94FA-4E92-A48C-4E609C9135AD}"/>
    <cellStyle name="60% - akcent 2 42" xfId="1143" xr:uid="{6FDF3C8C-BCEC-476D-946F-DF2E24E8EAD3}"/>
    <cellStyle name="60% - akcent 2 42 2" xfId="2868" xr:uid="{208CA92F-6BD3-4567-AD4B-ACEBC68C5F18}"/>
    <cellStyle name="60% - akcent 2 43" xfId="1144" xr:uid="{3E662B8C-E918-4E94-83AF-4D73B83490B6}"/>
    <cellStyle name="60% - akcent 2 43 2" xfId="2698" xr:uid="{59763FD6-691A-43AB-83B9-8AAE36073AF2}"/>
    <cellStyle name="60% - akcent 2 44" xfId="1145" xr:uid="{52D0D16A-5731-4304-9D1F-3E733979AE3E}"/>
    <cellStyle name="60% - akcent 2 44 2" xfId="3232" xr:uid="{76F00335-4EA9-44E8-AF95-0AB4695EA209}"/>
    <cellStyle name="60% - akcent 2 45" xfId="1146" xr:uid="{BFBB2D8D-B928-401E-A146-4DBD3E64C521}"/>
    <cellStyle name="60% - akcent 2 45 2" xfId="3278" xr:uid="{BC1517F5-67A8-4B2C-A762-BF365FDA8E0D}"/>
    <cellStyle name="60% - akcent 2 46" xfId="1147" xr:uid="{82573076-527C-499C-9B1D-28CEA82A5C81}"/>
    <cellStyle name="60% - akcent 2 46 2" xfId="3273" xr:uid="{D43A4123-F4DD-446A-860D-CBD433F5AA19}"/>
    <cellStyle name="60% - akcent 2 47" xfId="1148" xr:uid="{493E2EDE-87F7-4268-9E1E-B72F65A6BE7D}"/>
    <cellStyle name="60% - akcent 2 47 2" xfId="3270" xr:uid="{4BD4A211-AE0F-467E-A5D7-513A38E2F6F6}"/>
    <cellStyle name="60% - akcent 2 48" xfId="1149" xr:uid="{BCC816E8-8A65-42E8-BC02-381E755058F7}"/>
    <cellStyle name="60% - akcent 2 48 2" xfId="3300" xr:uid="{FFA4AEB8-1596-4014-B22F-6F154A2FECBE}"/>
    <cellStyle name="60% - akcent 2 49" xfId="1150" xr:uid="{E4802932-4550-4294-BE74-B52A415A6CAF}"/>
    <cellStyle name="60% - akcent 2 49 2" xfId="3311" xr:uid="{66B01079-EB78-4A10-A7B4-C715CEED922D}"/>
    <cellStyle name="60% - akcent 2 5" xfId="1151" xr:uid="{A515B964-3091-4DD5-9DEB-A882379B3973}"/>
    <cellStyle name="60% — akcent 2 5" xfId="1152" xr:uid="{E9A2D910-25F5-458B-85C0-FA7EEECFB5BA}"/>
    <cellStyle name="60% - akcent 2 50" xfId="1153" xr:uid="{E23A667A-B3D9-4D17-AA0A-38A3FAFF7A08}"/>
    <cellStyle name="60% - akcent 2 51" xfId="1154" xr:uid="{E30A2B7D-6F6B-4173-8BB9-8AD17067DC28}"/>
    <cellStyle name="60% - akcent 2 52" xfId="2291" xr:uid="{9F17696D-D0EE-40D4-B380-53276A9E7CF5}"/>
    <cellStyle name="60% - akcent 2 6" xfId="1155" xr:uid="{8C4BA905-5124-488B-A60E-F94821E2625B}"/>
    <cellStyle name="60% — akcent 2 6" xfId="1156" xr:uid="{7FDC1F8A-286A-4CB5-8F14-29CFD1DBC5EA}"/>
    <cellStyle name="60% - akcent 2 7" xfId="1157" xr:uid="{902F0F98-8023-420B-957D-02C1BA64C411}"/>
    <cellStyle name="60% - akcent 2 8" xfId="1158" xr:uid="{AFDF714D-FC5F-49E5-9482-9833947ADE80}"/>
    <cellStyle name="60% - akcent 2 8 2" xfId="2528" xr:uid="{CADAB1B6-F95D-443F-9CD0-DD4745B35027}"/>
    <cellStyle name="60% - akcent 2 9" xfId="1159" xr:uid="{EA58DD35-0F6E-4CDD-B034-D1CAD26CDC3F}"/>
    <cellStyle name="60% - akcent 2 9 2" xfId="2671" xr:uid="{232DB526-6881-48F6-BD83-99A4024EA63F}"/>
    <cellStyle name="60% — akcent 2_03ceny14" xfId="1160" xr:uid="{B9AA3969-BFC9-439B-92DD-6F379EF5E103}"/>
    <cellStyle name="60% - akcent 2_03ceny36" xfId="1161" xr:uid="{A2D46415-8A3D-4366-A5B8-879BF400DCC0}"/>
    <cellStyle name="60% — akcent 2_03ceny39" xfId="1162" xr:uid="{8CD440A2-F39B-4FD7-AB5A-506C2B7CA97C}"/>
    <cellStyle name="60% - akcent 2_Arkusz1" xfId="1163" xr:uid="{217C46BF-ED5F-4460-8B33-FD34D2D3CA0B}"/>
    <cellStyle name="60% — akcent 2_Arkusz1" xfId="3443" xr:uid="{33364453-00E0-44C4-9820-D17F1DEF6143}"/>
    <cellStyle name="60% - akcent 2_dodatki" xfId="1164" xr:uid="{5CEC48F8-A6D8-4E84-830C-AEDC5DEB3ECB}"/>
    <cellStyle name="60% — akcent 2_dodatki" xfId="1165" xr:uid="{3CCF064B-8686-42C5-BA5D-B80DD6421ED2}"/>
    <cellStyle name="60% - akcent 2_grupy" xfId="1166" xr:uid="{FE76497E-C4F3-45EA-9866-E29F21BF832C}"/>
    <cellStyle name="60% — akcent 2_grupy" xfId="1167" xr:uid="{362DBB21-F094-4D25-A0C7-E1B89904B3A5}"/>
    <cellStyle name="60% - akcent 2_NFoto4" xfId="1168" xr:uid="{C53E2C24-514E-4FA7-9DA0-EDB9E44B9987}"/>
    <cellStyle name="60% — akcent 2_NFoto4" xfId="1169" xr:uid="{36B84539-5D43-42F2-91B2-4103BA20CFC9}"/>
    <cellStyle name="60% - akcent 2_NVersp50" xfId="1170" xr:uid="{6D079F9E-43DC-406E-9332-25533D399515}"/>
    <cellStyle name="60% — akcent 2_NVersp70" xfId="1171" xr:uid="{F630CB32-3038-462D-A4FD-4FBA30006484}"/>
    <cellStyle name="60% - akcent 2_slownik" xfId="1172" xr:uid="{C6C7F17D-E95C-4CD2-B8CC-EB513FE90A2D}"/>
    <cellStyle name="60% — akcent 2_slownik" xfId="1173" xr:uid="{9DB838A0-0BAB-4B2B-BA33-E3C07E76E3F9}"/>
    <cellStyle name="60% - akcent 2_slownik_1" xfId="1174" xr:uid="{510D4246-6999-4535-87EA-A72D0CF7148E}"/>
    <cellStyle name="60% — akcent 2_slownik_1" xfId="1175" xr:uid="{DEBE566B-7F9E-4543-AD80-8C747E26C5B7}"/>
    <cellStyle name="60% - akcent 2_slownik_1_slownik" xfId="3444" xr:uid="{D27720B4-D319-411D-A91F-C1186B74D473}"/>
    <cellStyle name="60% — akcent 2_slownik_1_slownik" xfId="3445" xr:uid="{73D230C0-1216-498E-A023-B3E56790AF73}"/>
    <cellStyle name="60% - akcent 2_slownik_2" xfId="3446" xr:uid="{38817FB8-4985-44CB-AB55-F4ADFBE14C01}"/>
    <cellStyle name="60% — akcent 2_slownik_2" xfId="3447" xr:uid="{7C3506F5-4F10-4530-9F07-8FFB1BF1575E}"/>
    <cellStyle name="60% - akcent 2_slownik_slownik" xfId="3448" xr:uid="{43305E8A-8B8B-4C0E-8066-6B03EB57C4C6}"/>
    <cellStyle name="60% — akcent 2_slownik_slownik" xfId="3449" xr:uid="{CDD065DA-A631-4695-AD5D-66539828B402}"/>
    <cellStyle name="60% - akcent 3" xfId="1176" xr:uid="{2C9569FF-34E1-4D82-A88A-6E3886ED6EDD}"/>
    <cellStyle name="60% — akcent 3" xfId="1177" xr:uid="{142F864D-0E12-49D3-8C1C-07C1CA9EA9CC}"/>
    <cellStyle name="60% - akcent 3 10" xfId="1178" xr:uid="{8A39484C-B420-4D3B-8A3F-960392A6782E}"/>
    <cellStyle name="60% - akcent 3 10 2" xfId="2909" xr:uid="{780F87DE-24FF-46C4-978B-E6955C25E650}"/>
    <cellStyle name="60% - akcent 3 11" xfId="1179" xr:uid="{7A8674B3-0C06-4F4D-9430-99E1835EA4AB}"/>
    <cellStyle name="60% - akcent 3 11 2" xfId="2677" xr:uid="{318BB92C-6853-4CDB-90B9-4180B8F2F666}"/>
    <cellStyle name="60% - akcent 3 12" xfId="1180" xr:uid="{529BC95B-37ED-438E-B539-A273825034ED}"/>
    <cellStyle name="60% - akcent 3 12 2" xfId="3085" xr:uid="{5F18807F-4701-4D04-87C2-F9A9A4D1D689}"/>
    <cellStyle name="60% - akcent 3 13" xfId="1181" xr:uid="{706AEEE0-2B74-49F5-BD6A-F6EC097B2046}"/>
    <cellStyle name="60% - akcent 3 13 2" xfId="2594" xr:uid="{FC414DD1-C208-47DB-8273-E25BFAAFB2C2}"/>
    <cellStyle name="60% - akcent 3 14" xfId="1182" xr:uid="{F27E8BFE-1F12-481C-92AC-065F150CC907}"/>
    <cellStyle name="60% - akcent 3 14 2" xfId="2793" xr:uid="{30209A8C-FF76-4CC4-9E1A-3A02DFD9FD6E}"/>
    <cellStyle name="60% - akcent 3 15" xfId="1183" xr:uid="{9538816C-9C3A-49CF-9677-BCDD02A6CD4D}"/>
    <cellStyle name="60% - akcent 3 15 2" xfId="3013" xr:uid="{FC62917D-D172-4F20-972F-F8B0A0C8E0C1}"/>
    <cellStyle name="60% - akcent 3 16" xfId="1184" xr:uid="{48FD1D0F-96E9-4D21-AC47-F858815F7B5B}"/>
    <cellStyle name="60% - akcent 3 16 2" xfId="2826" xr:uid="{647C755E-669D-40F1-B165-AE18B4F35F01}"/>
    <cellStyle name="60% - akcent 3 17" xfId="1185" xr:uid="{8E01E68C-1DEB-4DB6-97A0-5EBD9FEFE323}"/>
    <cellStyle name="60% - akcent 3 17 2" xfId="2952" xr:uid="{629E00A1-2EA8-4411-BA50-2B088B2C7B40}"/>
    <cellStyle name="60% - akcent 3 18" xfId="1186" xr:uid="{8B026A00-2C0A-49D9-A005-80C19C404583}"/>
    <cellStyle name="60% - akcent 3 18 2" xfId="3057" xr:uid="{A4BFE65B-897F-430E-A27D-07F2C7EDC4D0}"/>
    <cellStyle name="60% - akcent 3 19" xfId="1187" xr:uid="{6F72335A-6F40-4F6F-A0E9-9D67B1757AC8}"/>
    <cellStyle name="60% - akcent 3 19 2" xfId="2605" xr:uid="{16053873-D3E2-4766-AE0F-B18C0C90BC44}"/>
    <cellStyle name="60% - akcent 3 2" xfId="1188" xr:uid="{13C76B3A-F2BD-4962-809F-E666A79D2AB6}"/>
    <cellStyle name="60% — akcent 3 2" xfId="1189" xr:uid="{1786E2D7-4C04-4428-B2EA-0CA413249C4A}"/>
    <cellStyle name="60% - akcent 3 2 2" xfId="1190" xr:uid="{DAFAE909-D0BB-49D2-8AEB-2A1CC993B13C}"/>
    <cellStyle name="60% — akcent 3 2 2" xfId="2375" xr:uid="{BB2C3DEA-D33D-43E7-B7A2-0865B59EEAA5}"/>
    <cellStyle name="60% - akcent 3 2 3" xfId="1191" xr:uid="{04191307-8CBF-40A0-8540-1827B8F4BF44}"/>
    <cellStyle name="60% — akcent 3 2_IMPORT" xfId="1192" xr:uid="{69AB0091-A62F-43D2-9579-EE9F86A0F4D5}"/>
    <cellStyle name="60% - akcent 3 20" xfId="1193" xr:uid="{4F15D104-670C-4B09-A239-885AEDD3E1CB}"/>
    <cellStyle name="60% - akcent 3 20 2" xfId="3083" xr:uid="{52C81368-8CA5-436F-8A9C-872B5CC2A455}"/>
    <cellStyle name="60% - akcent 3 21" xfId="1194" xr:uid="{8FAD18B0-4B6E-48D6-8B68-0A0097BAF36F}"/>
    <cellStyle name="60% - akcent 3 21 2" xfId="2914" xr:uid="{B138D6A7-21FA-4FED-B90A-792A14B02319}"/>
    <cellStyle name="60% - akcent 3 22" xfId="1195" xr:uid="{9C20B240-148B-4857-B2BA-74814CDD10D2}"/>
    <cellStyle name="60% - akcent 3 22 2" xfId="3008" xr:uid="{4EF64300-26DC-4AE4-85AC-5F1E834ACBDB}"/>
    <cellStyle name="60% - akcent 3 23" xfId="1196" xr:uid="{CE599F7F-8A97-4C34-8F5B-4A9CAF86DC73}"/>
    <cellStyle name="60% - akcent 3 23 2" xfId="2831" xr:uid="{1E1BE05B-4F11-4BD7-9C48-946B61F2CEDD}"/>
    <cellStyle name="60% - akcent 3 24" xfId="1197" xr:uid="{9E5BBB73-9BA9-4789-8A16-FC39A69659BB}"/>
    <cellStyle name="60% - akcent 3 24 2" xfId="2951" xr:uid="{2678267A-19DA-447E-A799-5DA3BAC4DB6E}"/>
    <cellStyle name="60% - akcent 3 25" xfId="1198" xr:uid="{E5A9DB68-68ED-478C-BB09-1DE6CB91873E}"/>
    <cellStyle name="60% - akcent 3 25 2" xfId="2659" xr:uid="{9AF70320-A8C6-4675-91FE-6EB9F80B8472}"/>
    <cellStyle name="60% - akcent 3 26" xfId="1199" xr:uid="{ED8CD2AC-44DC-4BB0-9F80-BE816AFBB049}"/>
    <cellStyle name="60% - akcent 3 26 2" xfId="2908" xr:uid="{1453300E-5B01-4C31-9C95-AE35CD397765}"/>
    <cellStyle name="60% - akcent 3 27" xfId="1200" xr:uid="{C3A1FD44-B5AB-4FEF-B8F3-5E7B633CBFDD}"/>
    <cellStyle name="60% - akcent 3 27 2" xfId="2678" xr:uid="{3AF870BE-0B0C-4080-8BA2-77F99DAA79F4}"/>
    <cellStyle name="60% - akcent 3 28" xfId="1201" xr:uid="{F7535A3C-41CD-4AB3-9B55-23C1634DBBE8}"/>
    <cellStyle name="60% - akcent 3 28 2" xfId="2802" xr:uid="{73D72A5C-A153-49CA-A46F-F8BF52BBF7B8}"/>
    <cellStyle name="60% - akcent 3 29" xfId="1202" xr:uid="{B8CF4041-1B3D-4D50-BC2D-188BE5A0DC69}"/>
    <cellStyle name="60% - akcent 3 29 2" xfId="2961" xr:uid="{07C851D7-8374-4554-AEF8-1260DD8F9058}"/>
    <cellStyle name="60% - akcent 3 3" xfId="1203" xr:uid="{594A33CD-FFE5-4EEF-9C24-D0884CE1B813}"/>
    <cellStyle name="60% — akcent 3 3" xfId="1204" xr:uid="{34906356-9D5C-4EAE-85CE-CD10264284A2}"/>
    <cellStyle name="60% - akcent 3 30" xfId="1205" xr:uid="{1779EFFB-6AFF-4BAC-9D98-6E882F0521E7}"/>
    <cellStyle name="60% - akcent 3 30 2" xfId="2654" xr:uid="{FFCC673B-9326-4536-9802-FEAEDE9ABBA7}"/>
    <cellStyle name="60% - akcent 3 31" xfId="1206" xr:uid="{9D9B0228-0B21-4282-97C5-93A1C86D6A21}"/>
    <cellStyle name="60% - akcent 3 31 2" xfId="2985" xr:uid="{5127FEC4-7E3B-4084-8D0F-4AA895536047}"/>
    <cellStyle name="60% - akcent 3 32" xfId="1207" xr:uid="{A91EDE4C-06B6-4199-81AF-6B0BEE7D7FBF}"/>
    <cellStyle name="60% - akcent 3 32 2" xfId="2640" xr:uid="{B37A8963-F096-4C3B-8231-BB6F46182972}"/>
    <cellStyle name="60% - akcent 3 33" xfId="1208" xr:uid="{C7426853-8324-4AA4-A5EC-6812C827D437}"/>
    <cellStyle name="60% - akcent 3 33 2" xfId="2775" xr:uid="{B4F7B7C1-6B31-4346-8065-B0D7DC77905F}"/>
    <cellStyle name="60% - akcent 3 34" xfId="1209" xr:uid="{BCE43756-8276-47C5-9142-ED0ABC9EC608}"/>
    <cellStyle name="60% - akcent 3 34 2" xfId="2729" xr:uid="{4F533241-E906-415D-9003-5031E087C02A}"/>
    <cellStyle name="60% - akcent 3 35" xfId="1210" xr:uid="{836A4290-A9D8-4161-90FB-04EC04A59334}"/>
    <cellStyle name="60% - akcent 3 35 2" xfId="2749" xr:uid="{400885F0-B835-4BCA-AB37-68E959412F3A}"/>
    <cellStyle name="60% - akcent 3 36" xfId="1211" xr:uid="{9148D7F3-7A57-4C5A-8785-2973760CAD11}"/>
    <cellStyle name="60% - akcent 3 36 2" xfId="3086" xr:uid="{178C386A-052D-4A50-AD21-2875928CC618}"/>
    <cellStyle name="60% - akcent 3 37" xfId="1212" xr:uid="{01F72F53-169B-448F-ABA6-4CEBCE483D73}"/>
    <cellStyle name="60% - akcent 3 37 2" xfId="3044" xr:uid="{230B4AB2-1882-4448-8CE4-A88A61F9AAE2}"/>
    <cellStyle name="60% - akcent 3 38" xfId="1213" xr:uid="{5A792F40-6B5F-46A1-9E8A-54BE198278BD}"/>
    <cellStyle name="60% - akcent 3 38 2" xfId="3100" xr:uid="{FFC6C003-E00E-4532-AAB4-E26B932F413F}"/>
    <cellStyle name="60% - akcent 3 39" xfId="1214" xr:uid="{6048F942-BBCA-4A51-803A-5DB46A85FCE6}"/>
    <cellStyle name="60% - akcent 3 39 2" xfId="2811" xr:uid="{1BCC06C7-3CF9-4850-8CD5-CA40A4656D15}"/>
    <cellStyle name="60% - akcent 3 4" xfId="1215" xr:uid="{91E8E797-1230-411D-AD41-BC0C6E77D0B7}"/>
    <cellStyle name="60% — akcent 3 4" xfId="1216" xr:uid="{7352F831-5C48-462E-BD57-EA7A06D3AA59}"/>
    <cellStyle name="60% — akcent 3 4 2" xfId="1217" xr:uid="{51AF6D3D-695A-4A02-B38C-3038DB606202}"/>
    <cellStyle name="60% - akcent 3 40" xfId="1218" xr:uid="{96712526-837E-496F-9D77-9BE6620207F6}"/>
    <cellStyle name="60% - akcent 3 40 2" xfId="2958" xr:uid="{45DB423D-89E5-4BE0-B381-3E42FFEF68D7}"/>
    <cellStyle name="60% - akcent 3 41" xfId="1219" xr:uid="{C771D12F-871D-4640-874F-D5D3489FFB76}"/>
    <cellStyle name="60% - akcent 3 41 2" xfId="3036" xr:uid="{6C8F8028-EFC5-41EE-B9F0-5D3BC7BE250E}"/>
    <cellStyle name="60% - akcent 3 42" xfId="1220" xr:uid="{D2C608E0-5D42-4987-A3B0-536689B44E68}"/>
    <cellStyle name="60% - akcent 3 42 2" xfId="2620" xr:uid="{2040EAAE-5191-47D3-AD48-94D347F06C78}"/>
    <cellStyle name="60% - akcent 3 43" xfId="1221" xr:uid="{ED5F0812-D366-4182-A97E-91A3AB8CC0C1}"/>
    <cellStyle name="60% - akcent 3 43 2" xfId="2782" xr:uid="{A29E2AD7-9709-41D2-9CD9-3E5F926F925D}"/>
    <cellStyle name="60% - akcent 3 44" xfId="1222" xr:uid="{28B51A82-6EA6-41C5-8832-E20D0EC0E0F0}"/>
    <cellStyle name="60% - akcent 3 44 2" xfId="3233" xr:uid="{F3B93A3E-8964-4CDF-9069-2A6BDFC22710}"/>
    <cellStyle name="60% - akcent 3 45" xfId="1223" xr:uid="{0F380E11-502F-403F-B621-39ADB86CB70E}"/>
    <cellStyle name="60% - akcent 3 45 2" xfId="3212" xr:uid="{6D48F10D-D7B7-41E6-A056-249494772D12}"/>
    <cellStyle name="60% - akcent 3 46" xfId="1224" xr:uid="{AE06FCDE-1197-42EA-89BE-BD6D80D0B311}"/>
    <cellStyle name="60% - akcent 3 46 2" xfId="3298" xr:uid="{4D8C85E1-9E84-4094-B95A-8A1AF911CC2F}"/>
    <cellStyle name="60% - akcent 3 47" xfId="1225" xr:uid="{8EAF2891-6EED-402F-B50D-6988D56B8EE3}"/>
    <cellStyle name="60% - akcent 3 47 2" xfId="3249" xr:uid="{403D1554-0CB3-4D09-8A93-510051DE3B3D}"/>
    <cellStyle name="60% - akcent 3 48" xfId="1226" xr:uid="{0B624E58-3508-4118-92E9-34F7C16BD842}"/>
    <cellStyle name="60% - akcent 3 48 2" xfId="3222" xr:uid="{21A75DCA-CDB1-41C6-8B71-99CE00708A1E}"/>
    <cellStyle name="60% - akcent 3 49" xfId="1227" xr:uid="{FBDDBEAE-3A3F-4478-B697-69B49B7FC796}"/>
    <cellStyle name="60% - akcent 3 49 2" xfId="3229" xr:uid="{164E526B-37B6-49BF-9D08-5F4BB2FEEC87}"/>
    <cellStyle name="60% - akcent 3 5" xfId="1228" xr:uid="{A67BDE7B-5DA5-40BD-90D6-E4C4050264AF}"/>
    <cellStyle name="60% — akcent 3 5" xfId="1229" xr:uid="{33952A92-B6CE-4C03-9E62-B0D31768529A}"/>
    <cellStyle name="60% — akcent 3 5 2" xfId="1230" xr:uid="{E5F5D3FD-8B80-4C9F-A655-F5F4AB5D6F45}"/>
    <cellStyle name="60% - akcent 3 50" xfId="1231" xr:uid="{26979C3E-B349-4AD9-8E33-A0065009C6D6}"/>
    <cellStyle name="60% - akcent 3 51" xfId="1232" xr:uid="{65CADC80-30B2-445A-9CFB-DB827C135321}"/>
    <cellStyle name="60% - akcent 3 52" xfId="2292" xr:uid="{387BDB04-A579-4F9F-99F1-4FD1BB808413}"/>
    <cellStyle name="60% - akcent 3 6" xfId="1233" xr:uid="{DCC3DDAD-2C4F-45C6-BA19-C299074C919B}"/>
    <cellStyle name="60% — akcent 3 6" xfId="1234" xr:uid="{5BFB1E9A-0F45-4A67-B8D0-67CF1E78C51E}"/>
    <cellStyle name="60% - akcent 3 7" xfId="1235" xr:uid="{1A940630-2F83-498C-B78B-1744FBD0EE55}"/>
    <cellStyle name="60% - akcent 3 8" xfId="1236" xr:uid="{8C39C6F2-5F45-40E9-864C-AC3BBCDB0557}"/>
    <cellStyle name="60% - akcent 3 8 2" xfId="2529" xr:uid="{570A1A22-1BD1-4C8E-BCBC-A9171635E1FC}"/>
    <cellStyle name="60% - akcent 3 9" xfId="1237" xr:uid="{702EB528-752C-49BF-8458-810C94CED83B}"/>
    <cellStyle name="60% - akcent 3 9 2" xfId="2676" xr:uid="{A12069D2-FB55-4E09-B955-B9002861ABF4}"/>
    <cellStyle name="60% — akcent 3_03ceny14" xfId="1238" xr:uid="{8656B547-F0B0-4111-8478-58344A8A3DA5}"/>
    <cellStyle name="60% - akcent 3_03ceny36" xfId="1239" xr:uid="{FBD4E8A3-8AD5-4894-B577-3C6DFE65F9C1}"/>
    <cellStyle name="60% — akcent 3_03ceny39" xfId="1240" xr:uid="{05AEEEE8-9E5E-406D-963C-1649A162A7C5}"/>
    <cellStyle name="60% - akcent 3_Arkusz1" xfId="1241" xr:uid="{4E254F18-429A-46B1-AD6C-1F297A764AD9}"/>
    <cellStyle name="60% — akcent 3_Arkusz1" xfId="3450" xr:uid="{7B52909D-3747-49FC-8410-D2034AD2513F}"/>
    <cellStyle name="60% - akcent 3_dodatki" xfId="1242" xr:uid="{6A243053-5A38-487C-81FF-6B172C26E792}"/>
    <cellStyle name="60% — akcent 3_dodatki" xfId="1243" xr:uid="{0D9B2266-190A-4CB7-8A13-193B59412392}"/>
    <cellStyle name="60% - akcent 3_grupy" xfId="1244" xr:uid="{778EE810-8128-46E7-8E0E-F552F404B961}"/>
    <cellStyle name="60% — akcent 3_grupy" xfId="1245" xr:uid="{69E53491-2426-4119-979D-CFC20DDFB1A0}"/>
    <cellStyle name="60% - akcent 3_NFoto4" xfId="1246" xr:uid="{8612A522-3BAD-4216-8190-7ABFD526039E}"/>
    <cellStyle name="60% — akcent 3_NFoto4" xfId="1247" xr:uid="{66555582-CE46-48CF-8084-A9E77AB81F70}"/>
    <cellStyle name="60% - akcent 3_NVersp50" xfId="1248" xr:uid="{ADC52102-A428-4895-BBAC-570BC5A8B6EC}"/>
    <cellStyle name="60% — akcent 3_NVersp70" xfId="1249" xr:uid="{D239A8F5-BC7D-47B2-A2D2-BBA4838A7E71}"/>
    <cellStyle name="60% - akcent 3_slownik" xfId="1250" xr:uid="{C7DC768E-236C-41A7-8CFF-2E26343BC45A}"/>
    <cellStyle name="60% — akcent 3_slownik" xfId="1251" xr:uid="{C70F4423-99B1-4346-80A5-52EFA9F2E68C}"/>
    <cellStyle name="60% - akcent 3_slownik_1" xfId="1252" xr:uid="{EF263D38-D4F0-47CF-AD56-ABD5D3DE48A5}"/>
    <cellStyle name="60% — akcent 3_slownik_1" xfId="1253" xr:uid="{D2D8FC2F-6B1E-4B1A-905C-772733C70699}"/>
    <cellStyle name="60% - akcent 3_slownik_1_slownik" xfId="3451" xr:uid="{B95DC106-AC2D-4F3E-A388-47FB8E092687}"/>
    <cellStyle name="60% — akcent 3_slownik_1_slownik" xfId="3452" xr:uid="{797174EA-F644-49F8-9B39-DCC3366A3856}"/>
    <cellStyle name="60% - akcent 3_slownik_2" xfId="3453" xr:uid="{7F5E3D5C-FAD0-420A-B3DA-908AEBBB0077}"/>
    <cellStyle name="60% — akcent 3_slownik_2" xfId="3454" xr:uid="{4220B25C-C657-453C-8B1A-E1D763099644}"/>
    <cellStyle name="60% - akcent 3_slownik_slownik" xfId="3455" xr:uid="{2A151C43-C801-4CD1-A44D-05CFFFB43E94}"/>
    <cellStyle name="60% — akcent 3_slownik_slownik" xfId="3456" xr:uid="{E0743EA6-C6EA-4D0C-86B7-6F680A0F34CB}"/>
    <cellStyle name="60% - akcent 4" xfId="1254" xr:uid="{4A0FAF61-0965-4C94-8B6F-EADB9CA5A6E5}"/>
    <cellStyle name="60% — akcent 4" xfId="1255" xr:uid="{83F64998-075C-4ADE-8BE0-ACB64294FCCF}"/>
    <cellStyle name="60% - akcent 4 10" xfId="1256" xr:uid="{C0C65E01-FCD4-4C51-BA9D-6630099EE943}"/>
    <cellStyle name="60% - akcent 4 10 2" xfId="2583" xr:uid="{19159608-F4AD-467A-9994-8DE2192FE0AB}"/>
    <cellStyle name="60% - akcent 4 11" xfId="1257" xr:uid="{11F7A1DD-5A29-49F4-8D87-69B07ABEF817}"/>
    <cellStyle name="60% - akcent 4 11 2" xfId="2906" xr:uid="{B1890BB2-A2B8-4F69-B517-5D94FFAFC963}"/>
    <cellStyle name="60% - akcent 4 12" xfId="1258" xr:uid="{8238440E-60BE-47A6-8B02-4960DF995946}"/>
    <cellStyle name="60% - akcent 4 12 2" xfId="2934" xr:uid="{C30D891C-D028-4337-956E-98EAF0842CBA}"/>
    <cellStyle name="60% - akcent 4 13" xfId="1259" xr:uid="{E009026A-72DE-48F4-98B1-99E6A2C5C27F}"/>
    <cellStyle name="60% - akcent 4 13 2" xfId="3103" xr:uid="{7EB657CD-287E-46EA-9A58-8C74984C77B7}"/>
    <cellStyle name="60% - akcent 4 14" xfId="1260" xr:uid="{52AD7708-85C4-49AC-9DFE-04E715B5743D}"/>
    <cellStyle name="60% - akcent 4 14 2" xfId="2809" xr:uid="{28960E6B-82F9-4D43-9F88-FF8CFBCEA99A}"/>
    <cellStyle name="60% - akcent 4 15" xfId="1261" xr:uid="{F7E9F272-A714-4BEE-BBD5-083CB00E7AE7}"/>
    <cellStyle name="60% - akcent 4 15 2" xfId="2959" xr:uid="{4FE2F801-5CC5-4627-9607-C6895C80D156}"/>
    <cellStyle name="60% - akcent 4 16" xfId="1262" xr:uid="{778D4B67-1F32-4AC9-9890-DADED3FF664B}"/>
    <cellStyle name="60% - akcent 4 16 2" xfId="2657" xr:uid="{72735C2C-8530-4AB3-BE1E-4DC771F4C188}"/>
    <cellStyle name="60% - akcent 4 17" xfId="1263" xr:uid="{68482078-117D-435F-BCB3-D4CAC1D22C7F}"/>
    <cellStyle name="60% - akcent 4 17 2" xfId="2801" xr:uid="{56E926D2-80AD-4908-BA16-C54FDFE3D03C}"/>
    <cellStyle name="60% - akcent 4 18" xfId="1264" xr:uid="{E90620E3-503C-4BF3-999A-94EF2BEF6A62}"/>
    <cellStyle name="60% - akcent 4 18 2" xfId="2962" xr:uid="{97ADD4CF-A012-4814-B2A3-D279CADA4DE9}"/>
    <cellStyle name="60% - akcent 4 19" xfId="1265" xr:uid="{A8175D10-AE68-4C93-9427-5C422105C99E}"/>
    <cellStyle name="60% - akcent 4 19 2" xfId="2653" xr:uid="{20262821-F44F-4BF0-8FA7-36369B6D29A6}"/>
    <cellStyle name="60% - akcent 4 2" xfId="1266" xr:uid="{05AA0516-1503-4D49-A418-26A3035399D3}"/>
    <cellStyle name="60% — akcent 4 2" xfId="1267" xr:uid="{F4C9AB67-D1CB-48C8-BB2C-09F5D4600D80}"/>
    <cellStyle name="60% - akcent 4 2 2" xfId="1268" xr:uid="{9C34C44E-C571-4178-881F-CE8E2205B43D}"/>
    <cellStyle name="60% — akcent 4 2 2" xfId="2376" xr:uid="{46353EE9-583F-4392-9719-C78CF419BE98}"/>
    <cellStyle name="60% - akcent 4 2 3" xfId="1269" xr:uid="{03C1D912-DD96-4827-932C-DB4C18AB596B}"/>
    <cellStyle name="60% — akcent 4 2_IMPORT" xfId="1270" xr:uid="{1BF018E5-E12D-4BBE-83CB-0E01D60E3651}"/>
    <cellStyle name="60% - akcent 4 20" xfId="1271" xr:uid="{60824CCA-F256-4F4F-9764-8EABA369E4BE}"/>
    <cellStyle name="60% - akcent 4 20 2" xfId="3090" xr:uid="{5839154B-0509-44C8-B44E-0397159BE65F}"/>
    <cellStyle name="60% - akcent 4 21" xfId="1272" xr:uid="{BFD17165-13DE-4A49-A4F2-EA400F874BC0}"/>
    <cellStyle name="60% - akcent 4 21 2" xfId="3002" xr:uid="{4AD603AD-6B38-404B-AC94-776058A8CF1E}"/>
    <cellStyle name="60% - akcent 4 22" xfId="1273" xr:uid="{A7D743C4-D4E0-4F40-A567-934F0D63B9A0}"/>
    <cellStyle name="60% - akcent 4 22 2" xfId="2632" xr:uid="{0D8B51A3-06C1-4CD2-AFCB-AC0EA747A15B}"/>
    <cellStyle name="60% - akcent 4 23" xfId="1274" xr:uid="{BCAA7F00-3D8D-4987-8059-B9275853BDBF}"/>
    <cellStyle name="60% - akcent 4 23 2" xfId="3110" xr:uid="{35226C85-C5FB-4D8D-B9FD-74E38F88D7DB}"/>
    <cellStyle name="60% - akcent 4 24" xfId="1275" xr:uid="{35706A25-74A2-4B02-B3DB-A2623A675B6A}"/>
    <cellStyle name="60% - akcent 4 24 2" xfId="2586" xr:uid="{D6EE8C68-4E22-4FE7-8C79-F30AE0F6B739}"/>
    <cellStyle name="60% - akcent 4 25" xfId="1276" xr:uid="{ED388632-F1CC-4E8C-B880-765D60E2E245}"/>
    <cellStyle name="60% - akcent 4 25 2" xfId="2983" xr:uid="{C56EF045-9391-448D-A445-7CBD87068541}"/>
    <cellStyle name="60% - akcent 4 26" xfId="1277" xr:uid="{E1DE470E-EBA2-49C7-B540-046067E73369}"/>
    <cellStyle name="60% - akcent 4 26 2" xfId="2928" xr:uid="{6F0B86B9-DC4A-42EF-AF93-63C2BECF7896}"/>
    <cellStyle name="60% - akcent 4 27" xfId="1278" xr:uid="{B13D2558-7EDD-4818-A468-92C14F49DC6B}"/>
    <cellStyle name="60% - akcent 4 27 2" xfId="2847" xr:uid="{2F3191BC-BB39-4592-B816-DAAC290E7176}"/>
    <cellStyle name="60% - akcent 4 28" xfId="1279" xr:uid="{C0F37DB0-110D-4247-A9F1-CC2B197FC46D}"/>
    <cellStyle name="60% - akcent 4 28 2" xfId="2710" xr:uid="{3A01DF3C-8AD1-49FC-B5E7-E70F555C3EC6}"/>
    <cellStyle name="60% - akcent 4 29" xfId="1280" xr:uid="{8D3C36BE-8FF5-4473-9DE7-22420B4E340A}"/>
    <cellStyle name="60% - akcent 4 29 2" xfId="3074" xr:uid="{6C60F932-C014-4CDC-86CC-F7750BF9EB9F}"/>
    <cellStyle name="60% - akcent 4 3" xfId="1281" xr:uid="{48B71C3D-5D01-407C-B06D-C6B18E9B3252}"/>
    <cellStyle name="60% — akcent 4 3" xfId="1282" xr:uid="{C02CEDFE-CA74-4281-A7B6-8A0A8A6BE9A1}"/>
    <cellStyle name="60% - akcent 4 30" xfId="1283" xr:uid="{248ADC3F-745A-49F9-883E-A2EB5CEC161B}"/>
    <cellStyle name="60% - akcent 4 30 2" xfId="2991" xr:uid="{7707911C-6031-4B0A-AD41-496BDA6A574D}"/>
    <cellStyle name="60% - akcent 4 31" xfId="1284" xr:uid="{4CD08550-8FF5-4833-B2E1-744B0BC96A81}"/>
    <cellStyle name="60% - akcent 4 31 2" xfId="3005" xr:uid="{C18F4814-D261-4E7F-A783-57A9EA646568}"/>
    <cellStyle name="60% - akcent 4 32" xfId="1285" xr:uid="{D8D5E521-7906-43D7-8819-099544C85AE4}"/>
    <cellStyle name="60% - akcent 4 32 2" xfId="3095" xr:uid="{7FDDAB3C-5C59-4703-824B-F53EAAC76C29}"/>
    <cellStyle name="60% - akcent 4 33" xfId="1286" xr:uid="{8D4D0128-DBA1-4B3F-88C0-7B56B6A506CD}"/>
    <cellStyle name="60% - akcent 4 33 2" xfId="2591" xr:uid="{E9EF281D-4CCD-44D0-B665-D06125E42F37}"/>
    <cellStyle name="60% - akcent 4 34" xfId="1287" xr:uid="{C84F16E0-733B-4D76-9CEA-D589A6B5288F}"/>
    <cellStyle name="60% - akcent 4 34 2" xfId="3092" xr:uid="{FC292EE9-E306-40E7-BB55-749282E56770}"/>
    <cellStyle name="60% - akcent 4 35" xfId="1288" xr:uid="{2E3C2866-28AA-49CB-9D57-530E6EC7544B}"/>
    <cellStyle name="60% - akcent 4 35 2" xfId="2911" xr:uid="{605EA8B8-3CEF-4941-B22B-C229AE600946}"/>
    <cellStyle name="60% - akcent 4 36" xfId="1289" xr:uid="{751AB632-3C1A-450F-8129-9C314930750E}"/>
    <cellStyle name="60% - akcent 4 36 2" xfId="2849" xr:uid="{213F80B4-E7D2-41C5-93B5-5971FB0FEE26}"/>
    <cellStyle name="60% - akcent 4 37" xfId="1290" xr:uid="{32BC148F-CADB-4B0B-AB6E-D6E424AEB846}"/>
    <cellStyle name="60% - akcent 4 37 2" xfId="2941" xr:uid="{CA6F45E3-2FDD-4D8A-9678-AA8FB6E4591D}"/>
    <cellStyle name="60% - akcent 4 38" xfId="1291" xr:uid="{564AAC24-C2A1-40F5-95EF-BFBA469D1B7F}"/>
    <cellStyle name="60% - akcent 4 38 2" xfId="2843" xr:uid="{6867D18F-5662-4AF1-A675-C8D5A57D781A}"/>
    <cellStyle name="60% - akcent 4 39" xfId="1292" xr:uid="{D65CD8BE-428C-40C1-8A9F-9DF46B1D9606}"/>
    <cellStyle name="60% - akcent 4 39 2" xfId="2944" xr:uid="{40C340A0-21D1-4169-9CDE-DB48FAAE27F0}"/>
    <cellStyle name="60% - akcent 4 4" xfId="1293" xr:uid="{B1276F40-A58B-45F6-9537-D83CBFBA6B47}"/>
    <cellStyle name="60% — akcent 4 4" xfId="1294" xr:uid="{20DF7398-47FD-40FD-B560-4E6B2AA8A054}"/>
    <cellStyle name="60% — akcent 4 4 2" xfId="1295" xr:uid="{AEBDB45A-AE73-4FB7-A0DD-1A9D3FE797FA}"/>
    <cellStyle name="60% - akcent 4 40" xfId="1296" xr:uid="{E1BC16F9-270B-4F4A-B40B-DD64D669A9EA}"/>
    <cellStyle name="60% - akcent 4 40 2" xfId="2665" xr:uid="{10636B1E-9D3F-412E-BD96-9727BD7E4D85}"/>
    <cellStyle name="60% - akcent 4 41" xfId="1297" xr:uid="{A2BC52D7-DB77-449D-B68F-3B32F0EE56DD}"/>
    <cellStyle name="60% - akcent 4 41 2" xfId="2803" xr:uid="{4CE9F6AE-351C-4FDD-90B4-CE096B838998}"/>
    <cellStyle name="60% - akcent 4 42" xfId="1298" xr:uid="{4F5C2FCA-B8D0-4A93-8FD9-A8FFEC1EB835}"/>
    <cellStyle name="60% - akcent 4 42 2" xfId="2869" xr:uid="{930618EA-0E5C-47CE-9776-DA031EC834A5}"/>
    <cellStyle name="60% - akcent 4 43" xfId="1299" xr:uid="{2B818BF6-A4D4-496F-8797-BA2533E5B26B}"/>
    <cellStyle name="60% - akcent 4 43 2" xfId="2697" xr:uid="{C8E5CE42-3E62-4F70-8567-D33E8C249A39}"/>
    <cellStyle name="60% - akcent 4 44" xfId="1300" xr:uid="{AE24A8FE-EA43-4769-8482-A919492087DE}"/>
    <cellStyle name="60% - akcent 4 44 2" xfId="3234" xr:uid="{7A69609D-9222-4516-B89D-178F0ECFEB06}"/>
    <cellStyle name="60% - akcent 4 45" xfId="1301" xr:uid="{A8DA15B6-BB07-4D92-A0C6-B1EA3BA23BF8}"/>
    <cellStyle name="60% - akcent 4 45 2" xfId="3285" xr:uid="{46B12DA1-1124-4DD6-917A-918AC68EBC59}"/>
    <cellStyle name="60% - akcent 4 46" xfId="1302" xr:uid="{8873ECBD-7D92-4637-BC33-BDDBA8804BAD}"/>
    <cellStyle name="60% - akcent 4 46 2" xfId="3254" xr:uid="{D3D1EB37-794F-4FD7-8C79-43C999AA96B5}"/>
    <cellStyle name="60% - akcent 4 47" xfId="1303" xr:uid="{0521C8C3-A2FA-4EC3-9EA4-296669899C29}"/>
    <cellStyle name="60% - akcent 4 47 2" xfId="3310" xr:uid="{CCED30EE-60F6-4546-9F3C-CBEF0C17C0EB}"/>
    <cellStyle name="60% - akcent 4 48" xfId="1304" xr:uid="{8FF66688-E6F3-443A-BE0D-DC0A41E9195F}"/>
    <cellStyle name="60% - akcent 4 48 2" xfId="3296" xr:uid="{4EE2096D-9FDA-4C47-8EDD-1C0D8F416FF8}"/>
    <cellStyle name="60% - akcent 4 49" xfId="1305" xr:uid="{30DF0A81-7073-492F-A0B8-6FF3D558017D}"/>
    <cellStyle name="60% - akcent 4 49 2" xfId="3314" xr:uid="{F659A926-0920-47FF-AD94-076581C4EE49}"/>
    <cellStyle name="60% - akcent 4 5" xfId="1306" xr:uid="{38D917D7-DA4A-4111-BBE4-F2D2A0F4673F}"/>
    <cellStyle name="60% — akcent 4 5" xfId="1307" xr:uid="{D3974BDD-F80E-47A2-BF44-44327993CF7A}"/>
    <cellStyle name="60% — akcent 4 5 2" xfId="1308" xr:uid="{1050E073-2BB6-469D-84B1-9A1B0E45AB04}"/>
    <cellStyle name="60% - akcent 4 50" xfId="1309" xr:uid="{6B975C50-B950-4E9B-B4C2-ED29CED0E3C7}"/>
    <cellStyle name="60% - akcent 4 51" xfId="1310" xr:uid="{C43B6970-D702-47B1-B627-C16382A6DE14}"/>
    <cellStyle name="60% - akcent 4 52" xfId="2293" xr:uid="{7D30140F-CB79-4B5A-87B1-D7C4B60DBBD3}"/>
    <cellStyle name="60% - akcent 4 6" xfId="1311" xr:uid="{E49733D3-0EBD-4E24-B2E7-019B9419A660}"/>
    <cellStyle name="60% — akcent 4 6" xfId="1312" xr:uid="{AD3C185F-1B92-4632-A5B1-D5334444620D}"/>
    <cellStyle name="60% - akcent 4 7" xfId="1313" xr:uid="{C68E659D-7573-4D3B-9742-03E7B115B806}"/>
    <cellStyle name="60% - akcent 4 8" xfId="1314" xr:uid="{5DC627EA-C51B-4CAB-82F4-8E32AE37E9C1}"/>
    <cellStyle name="60% - akcent 4 8 2" xfId="2530" xr:uid="{40ACE5E1-BA29-4BF0-8909-5B09ECBB6439}"/>
    <cellStyle name="60% - akcent 4 9" xfId="1315" xr:uid="{9F801982-FCF3-4793-9147-2B1AF702F1D7}"/>
    <cellStyle name="60% - akcent 4 9 2" xfId="2681" xr:uid="{0780CFCB-62FD-4CB0-A7D5-8BBD2A6136D3}"/>
    <cellStyle name="60% — akcent 4_03ceny14" xfId="1316" xr:uid="{6C2A097F-FD2F-4707-8741-1A69B0CAE352}"/>
    <cellStyle name="60% - akcent 4_03ceny36" xfId="1317" xr:uid="{3D5AA692-4B55-449E-A525-7521486726E3}"/>
    <cellStyle name="60% — akcent 4_03ceny39" xfId="1318" xr:uid="{8A5D60C3-33A9-41B3-9C6D-819BE6B5B210}"/>
    <cellStyle name="60% - akcent 4_Arkusz1" xfId="1319" xr:uid="{ADCB8DFC-801E-410A-BBB1-3FED82D4BFA3}"/>
    <cellStyle name="60% — akcent 4_Arkusz1" xfId="3457" xr:uid="{D37029B7-A54B-48D9-ABD2-55A6D81384DA}"/>
    <cellStyle name="60% - akcent 4_dodatki" xfId="1320" xr:uid="{ABC5BD3F-B511-4041-8ED4-62613B8D786E}"/>
    <cellStyle name="60% — akcent 4_dodatki" xfId="1321" xr:uid="{24F1FE1D-4F0D-4D28-8E6B-263F0FBBB285}"/>
    <cellStyle name="60% - akcent 4_grupy" xfId="1322" xr:uid="{D8D51663-5919-4AC9-A39E-A626A0F666C0}"/>
    <cellStyle name="60% — akcent 4_grupy" xfId="1323" xr:uid="{1F0681CA-6A61-4CEB-BDC2-8E84687889E1}"/>
    <cellStyle name="60% - akcent 4_NFoto4" xfId="1324" xr:uid="{ED8B74BB-670D-4843-B186-894B5D0EA8CF}"/>
    <cellStyle name="60% — akcent 4_NFoto4" xfId="1325" xr:uid="{20C72C11-F0DE-4B32-BD14-2151461A6FF6}"/>
    <cellStyle name="60% - akcent 4_NVersp50" xfId="1326" xr:uid="{D11E2D45-E61E-4466-A398-E3247F72FB87}"/>
    <cellStyle name="60% — akcent 4_NVersp70" xfId="1327" xr:uid="{1E6B60C0-9B96-4BDC-9E72-9B8151C38EB3}"/>
    <cellStyle name="60% - akcent 4_slownik" xfId="1328" xr:uid="{A26174F3-5B98-4FAE-831C-9D029DB3DE43}"/>
    <cellStyle name="60% — akcent 4_slownik" xfId="1329" xr:uid="{4B3B0402-5B57-4BF8-8F62-F02F79083F68}"/>
    <cellStyle name="60% - akcent 4_slownik_1" xfId="1330" xr:uid="{5CBC30B2-D7B7-4B0B-851F-9B17DE678CA5}"/>
    <cellStyle name="60% — akcent 4_slownik_1" xfId="1331" xr:uid="{9C18C4C1-DEA3-406B-AA3C-477FBDBD883A}"/>
    <cellStyle name="60% - akcent 4_slownik_1_slownik" xfId="3458" xr:uid="{0B572E9A-4AE5-4926-9F62-D380BFF34C96}"/>
    <cellStyle name="60% — akcent 4_slownik_1_slownik" xfId="3459" xr:uid="{E2AD8C69-BB7A-438A-AD0E-6D876F006434}"/>
    <cellStyle name="60% - akcent 4_slownik_2" xfId="3460" xr:uid="{FE7974A5-4304-465D-9C68-15253E284066}"/>
    <cellStyle name="60% — akcent 4_slownik_2" xfId="3461" xr:uid="{7724C4FD-BC52-49BA-9120-F3E0E8EB5585}"/>
    <cellStyle name="60% - akcent 4_slownik_slownik" xfId="3462" xr:uid="{7D7B6063-47B6-4B86-85F2-0638DF479BD3}"/>
    <cellStyle name="60% — akcent 4_slownik_slownik" xfId="3463" xr:uid="{2071860B-9979-403E-896E-BB2ECBC31E00}"/>
    <cellStyle name="60% - akcent 5" xfId="1332" xr:uid="{698EA95A-D2FB-41CD-90DB-C2BDA06429B8}"/>
    <cellStyle name="60% — akcent 5" xfId="1333" xr:uid="{4AFCD54F-8C32-4B8E-95D0-7F9508106AC4}"/>
    <cellStyle name="60% - akcent 5 10" xfId="1334" xr:uid="{EC24A7A2-C799-46B4-AE9C-23EAB7FBD887}"/>
    <cellStyle name="60% - akcent 5 10 2" xfId="3040" xr:uid="{12446D08-54A2-425E-96CA-359FA70C54DC}"/>
    <cellStyle name="60% - akcent 5 11" xfId="1335" xr:uid="{CE8C5F2A-59A4-4DE6-8AFE-C0B88E63A8DF}"/>
    <cellStyle name="60% - akcent 5 11 2" xfId="2615" xr:uid="{2B2F5AA3-ACB4-400D-BE4B-37BE79E4CE29}"/>
    <cellStyle name="60% - akcent 5 12" xfId="1336" xr:uid="{72500F3F-355C-4E2D-B3DB-E494AC5E7EE1}"/>
    <cellStyle name="60% - akcent 5 12 2" xfId="3027" xr:uid="{A97A7E70-0286-4B53-BB9A-63207F3F2904}"/>
    <cellStyle name="60% - akcent 5 13" xfId="1337" xr:uid="{A8139F2D-C299-4B83-B6DD-3CE34CEE09A0}"/>
    <cellStyle name="60% - akcent 5 13 2" xfId="2922" xr:uid="{30BB4B26-EA0E-4B6C-9914-B9A1486B059C}"/>
    <cellStyle name="60% - akcent 5 14" xfId="1338" xr:uid="{8B6F99B8-877B-42E6-A093-79764FB2BB2B}"/>
    <cellStyle name="60% - akcent 5 14 2" xfId="2674" xr:uid="{751FB89B-7CE0-4EBC-83E8-BBAAA1A52C01}"/>
    <cellStyle name="60% - akcent 5 15" xfId="1339" xr:uid="{878D65B3-E460-4F2E-8A4D-74EBC3E46BB1}"/>
    <cellStyle name="60% - akcent 5 15 2" xfId="2892" xr:uid="{E7586DBD-54A5-4B23-989A-CB797F33C65B}"/>
    <cellStyle name="60% - akcent 5 16" xfId="1340" xr:uid="{5B47B988-13AF-4BED-B066-B83B01E70891}"/>
    <cellStyle name="60% - akcent 5 16 2" xfId="2937" xr:uid="{701C6E4A-9040-410F-8E23-E015E18809C3}"/>
    <cellStyle name="60% - akcent 5 17" xfId="1341" xr:uid="{969EB23B-3F43-4B51-9B3D-DDF34271B1FE}"/>
    <cellStyle name="60% - akcent 5 17 2" xfId="2846" xr:uid="{F4FF88D1-839B-4E69-852F-68D636755A7B}"/>
    <cellStyle name="60% - akcent 5 18" xfId="1342" xr:uid="{99AEC298-56DA-4453-AD24-1472BDE81A78}"/>
    <cellStyle name="60% - akcent 5 18 2" xfId="2859" xr:uid="{5329B368-A8A4-4CFB-BF8C-6BB06BDED94D}"/>
    <cellStyle name="60% - akcent 5 19" xfId="1343" xr:uid="{D6D1B15C-13BC-4118-810C-7D33B259DBA3}"/>
    <cellStyle name="60% - akcent 5 19 2" xfId="2855" xr:uid="{E75B7369-4A05-4486-8076-CC1D8782B8C9}"/>
    <cellStyle name="60% - akcent 5 2" xfId="1344" xr:uid="{059B7C42-57DD-44AF-85B2-EDC25F3D674E}"/>
    <cellStyle name="60% — akcent 5 2" xfId="1345" xr:uid="{7A111B84-A133-4C80-AB68-ADA503C01FB9}"/>
    <cellStyle name="60% — akcent 5 2 2" xfId="2377" xr:uid="{39F4D238-4694-4B8A-8CCC-438F7BDFA591}"/>
    <cellStyle name="60% - akcent 5 20" xfId="1346" xr:uid="{22F50B72-AB49-4EFF-BA67-661A0F794AB7}"/>
    <cellStyle name="60% - akcent 5 20 2" xfId="2857" xr:uid="{72340038-3998-4472-A2D4-9B18CBAF00A6}"/>
    <cellStyle name="60% - akcent 5 21" xfId="1347" xr:uid="{CAEF9AEC-087B-4838-A60F-9934A68FBCA9}"/>
    <cellStyle name="60% - akcent 5 21 2" xfId="2706" xr:uid="{8929B8B5-BC79-434B-B1AF-C9196963A13F}"/>
    <cellStyle name="60% - akcent 5 22" xfId="1348" xr:uid="{87932274-CF30-47B2-AA8A-C0F4FB72C420}"/>
    <cellStyle name="60% - akcent 5 22 2" xfId="2758" xr:uid="{E301214F-14E5-4D9F-BEDB-1B41D9C8F824}"/>
    <cellStyle name="60% - akcent 5 23" xfId="1349" xr:uid="{0C4B838C-C29E-452C-9D9E-61F8ECFFB4FB}"/>
    <cellStyle name="60% - akcent 5 23 2" xfId="3071" xr:uid="{31D854B3-8984-4C5F-9364-1A65AEA4BD7F}"/>
    <cellStyle name="60% - akcent 5 24" xfId="1350" xr:uid="{04EBFCD7-CF1B-4891-8B7A-647737E16BBF}"/>
    <cellStyle name="60% - akcent 5 24 2" xfId="3098" xr:uid="{9CDA864E-3F6A-426A-B9DA-1BA7FD700B59}"/>
    <cellStyle name="60% - akcent 5 25" xfId="1351" xr:uid="{E8454CE9-11F2-4BCC-8D11-C55E62637C19}"/>
    <cellStyle name="60% - akcent 5 25 2" xfId="2810" xr:uid="{37830959-07B5-4409-834D-913D12E3E6A2}"/>
    <cellStyle name="60% - akcent 5 26" xfId="1352" xr:uid="{0D07EBD2-DDC9-4A37-B0BA-9DDE6FF535EE}"/>
    <cellStyle name="60% - akcent 5 26 2" xfId="2867" xr:uid="{61EDE161-82D7-4041-98D1-31B8A4F19237}"/>
    <cellStyle name="60% - akcent 5 27" xfId="1353" xr:uid="{B7F82704-D506-45E2-A08A-9F7EFDB40BCF}"/>
    <cellStyle name="60% - akcent 5 27 2" xfId="2699" xr:uid="{6FF1E445-7FCF-4683-BA37-AC2B018569D0}"/>
    <cellStyle name="60% - akcent 5 28" xfId="1354" xr:uid="{3E869190-4780-4704-8085-E7D92FB63B05}"/>
    <cellStyle name="60% - akcent 5 28 2" xfId="2761" xr:uid="{06EF0A87-6D58-43FF-BBFA-0A97EF60A7C1}"/>
    <cellStyle name="60% - akcent 5 29" xfId="1355" xr:uid="{D1EECCD4-5353-4855-8FDC-0F40FA760B24}"/>
    <cellStyle name="60% - akcent 5 29 2" xfId="2734" xr:uid="{D8D8824F-B26D-4E04-B51C-F18ADD83E3C3}"/>
    <cellStyle name="60% - akcent 5 3" xfId="1356" xr:uid="{F9842D1F-C2D8-4C15-BE3E-E8407F963E52}"/>
    <cellStyle name="60% — akcent 5 3" xfId="1357" xr:uid="{F44716D4-677A-43F1-9747-4CB85B7603BE}"/>
    <cellStyle name="60% - akcent 5 30" xfId="1358" xr:uid="{525ABE4A-B7D0-4DD5-A859-61A4E78455FF}"/>
    <cellStyle name="60% - akcent 5 30 2" xfId="2882" xr:uid="{D777F522-5381-4A82-A744-B61FBF5F4A3C}"/>
    <cellStyle name="60% - akcent 5 31" xfId="1359" xr:uid="{E62FEDE9-653E-475D-A4DB-14C8FFB379B0}"/>
    <cellStyle name="60% - akcent 5 31 2" xfId="2692" xr:uid="{27E712FD-D976-40A1-9715-DBF27EE71C8E}"/>
    <cellStyle name="60% - akcent 5 32" xfId="1360" xr:uid="{72F84558-BF14-4B69-9189-CA589727701E}"/>
    <cellStyle name="60% - akcent 5 32 2" xfId="3075" xr:uid="{41A27255-AA1E-421C-88D6-A1A35A09784E}"/>
    <cellStyle name="60% - akcent 5 33" xfId="1361" xr:uid="{BF17B790-973E-46CA-9FB1-BF710AF7297A}"/>
    <cellStyle name="60% - akcent 5 33 2" xfId="3045" xr:uid="{AC26650B-B983-4BDA-9BA4-7ABECB0768A9}"/>
    <cellStyle name="60% - akcent 5 34" xfId="1362" xr:uid="{405D39CF-C5E7-45D7-A68C-BA5837F7C8E4}"/>
    <cellStyle name="60% - akcent 5 34 2" xfId="3112" xr:uid="{AC64135B-5CDE-4CCE-997D-276407A6F129}"/>
    <cellStyle name="60% - akcent 5 35" xfId="1363" xr:uid="{198CFFE1-F2B5-46B3-A50A-C927B0264671}"/>
    <cellStyle name="60% - akcent 5 35 2" xfId="3118" xr:uid="{FE636F99-D40D-4D7E-AF5E-7014AAEE65AE}"/>
    <cellStyle name="60% - akcent 5 36" xfId="1364" xr:uid="{301BE1A7-E266-4AD8-BEA1-76224CAFD66C}"/>
    <cellStyle name="60% - akcent 5 36 2" xfId="3124" xr:uid="{5E881B81-56D9-425D-98A2-D3645D7EC253}"/>
    <cellStyle name="60% - akcent 5 37" xfId="1365" xr:uid="{2844AAC6-D1C3-482C-822B-F0C8A911C1DA}"/>
    <cellStyle name="60% - akcent 5 37 2" xfId="3130" xr:uid="{E014F4FA-AFA0-461D-B858-F2F971D6BDB4}"/>
    <cellStyle name="60% - akcent 5 38" xfId="1366" xr:uid="{6B1A998B-89FF-4CB0-B6A5-110E2FB29F06}"/>
    <cellStyle name="60% - akcent 5 38 2" xfId="3135" xr:uid="{B48AE703-B084-415F-9E26-BFF8A43E6633}"/>
    <cellStyle name="60% - akcent 5 39" xfId="1367" xr:uid="{3DCE1326-33B6-4E44-8C2F-C36B501496D1}"/>
    <cellStyle name="60% - akcent 5 39 2" xfId="3140" xr:uid="{A6D06D5A-CF06-471D-96B7-F3B955DB6C59}"/>
    <cellStyle name="60% - akcent 5 4" xfId="1368" xr:uid="{10D0012B-ED8F-476A-A305-3CF6D15E8597}"/>
    <cellStyle name="60% — akcent 5 4" xfId="1369" xr:uid="{9208A950-2371-44FD-981B-E6A2D901232E}"/>
    <cellStyle name="60% - akcent 5 40" xfId="1370" xr:uid="{7222C2D2-7075-4336-9756-64CF3E4ED291}"/>
    <cellStyle name="60% - akcent 5 40 2" xfId="3145" xr:uid="{77088902-5D32-40A3-B8A1-E56294B8147D}"/>
    <cellStyle name="60% - akcent 5 41" xfId="1371" xr:uid="{BD2B89F2-C2C1-4066-99AD-6057B595BFC7}"/>
    <cellStyle name="60% - akcent 5 41 2" xfId="3150" xr:uid="{88DC96A2-D591-459E-B582-9A1E0DC8C95E}"/>
    <cellStyle name="60% - akcent 5 42" xfId="1372" xr:uid="{2DCA0C60-D7CB-45C2-AE80-4716F0C77643}"/>
    <cellStyle name="60% - akcent 5 42 2" xfId="3155" xr:uid="{04C50377-634C-41DA-BB0D-3283C3C141C8}"/>
    <cellStyle name="60% - akcent 5 43" xfId="1373" xr:uid="{EFB31BC0-6E68-4732-8F1B-86DD4D3510A0}"/>
    <cellStyle name="60% - akcent 5 43 2" xfId="3160" xr:uid="{5888CCE6-3233-46A0-9E53-41A97572F1F5}"/>
    <cellStyle name="60% - akcent 5 44" xfId="1374" xr:uid="{1E8DC365-8E82-4473-ADB1-795F0E97BF68}"/>
    <cellStyle name="60% - akcent 5 44 2" xfId="3235" xr:uid="{EF74E98A-EF21-478E-9FED-C04774762492}"/>
    <cellStyle name="60% - akcent 5 45" xfId="1375" xr:uid="{C6933882-FBBA-45D2-AE59-EB844B213477}"/>
    <cellStyle name="60% - akcent 5 45 2" xfId="3277" xr:uid="{83C1B6CB-A073-471D-8B86-E67B331FA965}"/>
    <cellStyle name="60% - akcent 5 46" xfId="1376" xr:uid="{A9F9C4F2-F70D-4609-B481-8C14FE0832B2}"/>
    <cellStyle name="60% - akcent 5 46 2" xfId="3307" xr:uid="{BEA8D6B4-4241-4229-A87F-49DB066F2050}"/>
    <cellStyle name="60% - akcent 5 47" xfId="1377" xr:uid="{8D997CC1-DC19-4A7B-8125-AAF51AFD99F1}"/>
    <cellStyle name="60% - akcent 5 47 2" xfId="3288" xr:uid="{7BEB9E7B-9EB6-47A0-95A6-851D428814D7}"/>
    <cellStyle name="60% - akcent 5 48" xfId="1378" xr:uid="{EA084B62-02B0-41DA-B7E4-1B6AD6A94DED}"/>
    <cellStyle name="60% - akcent 5 48 2" xfId="3272" xr:uid="{BFECDF89-1961-4319-A0B5-20E392CABE9A}"/>
    <cellStyle name="60% - akcent 5 49" xfId="1379" xr:uid="{BF586DB0-9382-4517-BBB2-629BFF63C486}"/>
    <cellStyle name="60% - akcent 5 49 2" xfId="3263" xr:uid="{5D55D78E-4CFF-4907-B56F-9648B9FD9872}"/>
    <cellStyle name="60% - akcent 5 5" xfId="1380" xr:uid="{6DE6AA90-6199-4FD2-944D-7548C9B0436F}"/>
    <cellStyle name="60% — akcent 5 5" xfId="1381" xr:uid="{0EAC9355-0900-4EBE-A7A7-55323C585E8A}"/>
    <cellStyle name="60% - akcent 5 50" xfId="1382" xr:uid="{9BD806CB-9288-4280-ADFF-89D864421884}"/>
    <cellStyle name="60% - akcent 5 51" xfId="1383" xr:uid="{03C2E14D-D91D-4830-BC0E-19207351BD7F}"/>
    <cellStyle name="60% - akcent 5 52" xfId="2294" xr:uid="{A4AF4170-3AF4-41A6-B05A-B9DD41548C8D}"/>
    <cellStyle name="60% - akcent 5 6" xfId="1384" xr:uid="{4EE05796-30D7-4D7B-94B8-62EB847681A7}"/>
    <cellStyle name="60% — akcent 5 6" xfId="1385" xr:uid="{4C28FDE7-F131-427C-8F8A-B5FDFCEA14C8}"/>
    <cellStyle name="60% - akcent 5 7" xfId="1386" xr:uid="{9D71E59F-759E-49DE-A645-30073CDB0095}"/>
    <cellStyle name="60% - akcent 5 8" xfId="1387" xr:uid="{4A5127A9-70E2-432B-A4E6-C6398278D210}"/>
    <cellStyle name="60% - akcent 5 8 2" xfId="2531" xr:uid="{13CDD2AC-7574-4129-8155-929D055ABB2D}"/>
    <cellStyle name="60% - akcent 5 9" xfId="1388" xr:uid="{4AF7C5DA-99DE-4E54-AC49-AB57BB7AC9EE}"/>
    <cellStyle name="60% - akcent 5 9 2" xfId="2689" xr:uid="{4A4CC53B-18A4-4ABA-9CCC-979A3BADE9FD}"/>
    <cellStyle name="60% — akcent 5_03ceny14" xfId="1389" xr:uid="{B5238C47-1367-4AD0-B8F1-0BA767EA2B55}"/>
    <cellStyle name="60% - akcent 5_03ceny36" xfId="1390" xr:uid="{23423B20-524E-4122-AFEB-1C7D85398875}"/>
    <cellStyle name="60% — akcent 5_03ceny39" xfId="1391" xr:uid="{EA5C1457-912A-4D67-B9D1-99DA1AAFE745}"/>
    <cellStyle name="60% - akcent 5_Arkusz1" xfId="1392" xr:uid="{1F93943C-D1D3-40BA-AEC3-5E219AC83047}"/>
    <cellStyle name="60% — akcent 5_Arkusz1" xfId="3464" xr:uid="{6BC0269D-D321-4150-931C-2E4D05C6F2C1}"/>
    <cellStyle name="60% - akcent 5_dodatki" xfId="1393" xr:uid="{C17D7815-BA7A-4B4A-943C-01AB484D9651}"/>
    <cellStyle name="60% — akcent 5_dodatki" xfId="1394" xr:uid="{627769DC-6313-47B5-9C34-3EB028AF2B21}"/>
    <cellStyle name="60% - akcent 5_grupy" xfId="1395" xr:uid="{106940E4-9C70-4C79-AF64-2CE9449C8F7C}"/>
    <cellStyle name="60% — akcent 5_grupy" xfId="1396" xr:uid="{4F1A1F46-F11C-477F-BEE6-DA9B25989C53}"/>
    <cellStyle name="60% - akcent 5_slownik" xfId="1397" xr:uid="{D4F5404C-1E69-42F1-B322-2D59ED112A17}"/>
    <cellStyle name="60% — akcent 5_slownik" xfId="1398" xr:uid="{49710A9A-D63E-4F70-A09A-8CC317360912}"/>
    <cellStyle name="60% - akcent 5_slownik_1" xfId="1399" xr:uid="{2D0259A5-71AC-4204-8B58-C407679F9A56}"/>
    <cellStyle name="60% — akcent 5_slownik_1" xfId="1400" xr:uid="{C7EC4A11-1730-4C38-BC18-B4F9ED7966F6}"/>
    <cellStyle name="60% - akcent 5_slownik_1_slownik" xfId="3465" xr:uid="{5A156FEA-9B40-43C6-87AD-273910083FA6}"/>
    <cellStyle name="60% — akcent 5_slownik_1_slownik" xfId="3466" xr:uid="{FA71D211-05E7-4D2A-9F52-166AC32375AB}"/>
    <cellStyle name="60% - akcent 5_slownik_2" xfId="3467" xr:uid="{BF541B5E-4FF9-4B50-8768-63B614AEE2DE}"/>
    <cellStyle name="60% — akcent 5_slownik_2" xfId="3468" xr:uid="{8265BD69-9ED8-4C1F-8CB6-986758E54A70}"/>
    <cellStyle name="60% - akcent 5_slownik_slownik" xfId="3469" xr:uid="{E51C7A42-BEA0-414A-BF0C-03535CA02BC8}"/>
    <cellStyle name="60% — akcent 5_slownik_slownik" xfId="3470" xr:uid="{DEEB2534-A3DA-41D4-A7A3-2AD9F9AE3AD8}"/>
    <cellStyle name="60% - akcent 6" xfId="1401" xr:uid="{09013E93-2619-4A81-BDE7-080ADCF7F6BA}"/>
    <cellStyle name="60% — akcent 6" xfId="1402" xr:uid="{6D51D412-C1A0-4109-889E-7FE480268216}"/>
    <cellStyle name="60% - akcent 6 10" xfId="1403" xr:uid="{057EC29F-48F6-4BA7-A809-0A86C79EB36C}"/>
    <cellStyle name="60% - akcent 6 10 2" xfId="3025" xr:uid="{39ED6712-BB21-4E90-BB34-C9BC1BBB2567}"/>
    <cellStyle name="60% - akcent 6 11" xfId="1404" xr:uid="{A2A78BC8-450E-4ADB-A080-6F0D5EAF2EB4}"/>
    <cellStyle name="60% - akcent 6 11 2" xfId="2623" xr:uid="{64CD1C63-C6BC-4353-842A-6C8AF9F0AEAA}"/>
    <cellStyle name="60% - akcent 6 12" xfId="1405" xr:uid="{105FD65E-A24C-4D8A-83DE-C5862F2D35D6}"/>
    <cellStyle name="60% - akcent 6 12 2" xfId="2780" xr:uid="{F140867E-CFB0-4602-AC78-6858F9E181F9}"/>
    <cellStyle name="60% - akcent 6 13" xfId="1406" xr:uid="{604C4F7E-5EBB-4333-847C-D67F2A3A0CE9}"/>
    <cellStyle name="60% - akcent 6 13 2" xfId="2727" xr:uid="{4B8972F1-FFBA-4CE1-A527-53CD6A7B3AB7}"/>
    <cellStyle name="60% - akcent 6 14" xfId="1407" xr:uid="{666CD301-BAB2-4655-A011-43D2D295FDCC}"/>
    <cellStyle name="60% - akcent 6 14 2" xfId="2751" xr:uid="{0D9A7C5B-B930-4629-B8A1-2FDBD594A060}"/>
    <cellStyle name="60% - akcent 6 15" xfId="1408" xr:uid="{9E9D7224-F36E-484A-B2CB-39A884781253}"/>
    <cellStyle name="60% - akcent 6 15 2" xfId="3020" xr:uid="{2834F26A-5F3F-44E5-8C1D-CF0852C1516A}"/>
    <cellStyle name="60% - akcent 6 16" xfId="1409" xr:uid="{7FF83874-EE8D-43D1-90A0-8F85D01DAF94}"/>
    <cellStyle name="60% - akcent 6 16 2" xfId="2628" xr:uid="{023A6057-8AB4-40CA-B971-6E1C3E67556F}"/>
    <cellStyle name="60% - akcent 6 17" xfId="1410" xr:uid="{E0B18CCC-8067-4DFB-8DE5-23A5470BFB03}"/>
    <cellStyle name="60% - akcent 6 17 2" xfId="2777" xr:uid="{CAEC23E3-53FD-4F18-B2B2-ABACDF099249}"/>
    <cellStyle name="60% - akcent 6 18" xfId="1411" xr:uid="{C175B7BC-1557-4E0C-8E7B-FB7B8DF39D94}"/>
    <cellStyle name="60% - akcent 6 18 2" xfId="3070" xr:uid="{AE58FC37-6494-47DC-9261-DD1869AC8172}"/>
    <cellStyle name="60% - akcent 6 19" xfId="1412" xr:uid="{941BDF02-9627-4034-9690-1C309AC59838}"/>
    <cellStyle name="60% - akcent 6 19 2" xfId="2814" xr:uid="{F0D4FF7C-E63B-4E02-8964-C9C26EAD96D9}"/>
    <cellStyle name="60% - akcent 6 2" xfId="1413" xr:uid="{21188BD2-E919-4240-BD04-33B7DD05A735}"/>
    <cellStyle name="60% — akcent 6 2" xfId="1414" xr:uid="{9DED6FA9-7A4F-4D54-873B-91FE8ED39540}"/>
    <cellStyle name="60% - akcent 6 2 2" xfId="1415" xr:uid="{6EB11015-C79F-49DC-AB7E-025F8AF37397}"/>
    <cellStyle name="60% — akcent 6 2 2" xfId="2378" xr:uid="{BB2422D7-E02D-473D-BE07-74FEE1331FD2}"/>
    <cellStyle name="60% - akcent 6 2 3" xfId="1416" xr:uid="{12FC4668-03C7-4C1C-BA50-8B39F928DB20}"/>
    <cellStyle name="60% — akcent 6 2_IMPORT" xfId="1417" xr:uid="{75E43734-DF8B-4E26-84C2-1B8A63EC6912}"/>
    <cellStyle name="60% - akcent 6 20" xfId="1418" xr:uid="{036B5788-6C96-4763-9F75-DD3F9D898DB4}"/>
    <cellStyle name="60% - akcent 6 20 2" xfId="2717" xr:uid="{F6544049-354F-4CB0-9B30-6D09B892633F}"/>
    <cellStyle name="60% - akcent 6 21" xfId="1419" xr:uid="{A3E77F41-224C-4C5D-A126-CD8ACE926DEC}"/>
    <cellStyle name="60% - akcent 6 21 2" xfId="3072" xr:uid="{49463A26-3001-4B11-BB0B-0D3AA85ABB57}"/>
    <cellStyle name="60% - akcent 6 22" xfId="1420" xr:uid="{3BCA6A3A-9534-41E1-B3AA-7EA0DA3A6912}"/>
    <cellStyle name="60% - akcent 6 22 2" xfId="2917" xr:uid="{FEB30CFF-35C9-4A91-8066-E36ECFD28F22}"/>
    <cellStyle name="60% - akcent 6 23" xfId="1421" xr:uid="{72E3419B-7FA2-4DE6-BF53-0DEE1F6996E0}"/>
    <cellStyle name="60% - akcent 6 23 2" xfId="3037" xr:uid="{AA26C192-CCE7-47BB-91DF-0EA158E294E9}"/>
    <cellStyle name="60% - akcent 6 24" xfId="1422" xr:uid="{075D8AA3-79B2-4D86-9DE2-F82F985E973B}"/>
    <cellStyle name="60% - akcent 6 24 2" xfId="2618" xr:uid="{C5F20C23-96AD-491A-B1A8-865005824ED2}"/>
    <cellStyle name="60% - akcent 6 25" xfId="1423" xr:uid="{81BB9B7B-C82A-4496-99A8-8E45B6B07D7C}"/>
    <cellStyle name="60% - akcent 6 25 2" xfId="2783" xr:uid="{8B9F871E-B14F-4D78-8478-6724FF88BEFA}"/>
    <cellStyle name="60% - akcent 6 26" xfId="1424" xr:uid="{4677227B-2F33-405D-8296-F29473307435}"/>
    <cellStyle name="60% - akcent 6 26 2" xfId="2726" xr:uid="{C39B11E1-5DFC-49D4-BA35-6C6C260367EA}"/>
    <cellStyle name="60% - akcent 6 27" xfId="1425" xr:uid="{54F4E791-C466-41E8-B93E-73080512AB2E}"/>
    <cellStyle name="60% - akcent 6 27 2" xfId="2972" xr:uid="{70E647FA-9EE8-4568-905D-3909DB092392}"/>
    <cellStyle name="60% - akcent 6 28" xfId="1426" xr:uid="{C66C480A-D36D-44F2-ABB6-5D0FAC22FB51}"/>
    <cellStyle name="60% - akcent 6 28 2" xfId="2646" xr:uid="{98932FBE-C5BF-4AD8-8E9B-B0D46D9E935C}"/>
    <cellStyle name="60% - akcent 6 29" xfId="1427" xr:uid="{4AB984BA-3718-4FEC-8C04-E876553B29A2}"/>
    <cellStyle name="60% - akcent 6 29 2" xfId="2894" xr:uid="{BA605D53-7D30-43CE-BBED-D5A4B5502973}"/>
    <cellStyle name="60% - akcent 6 3" xfId="1428" xr:uid="{DA2647AE-C983-47C5-A70F-449018880D3B}"/>
    <cellStyle name="60% — akcent 6 3" xfId="1429" xr:uid="{6D378EEE-2959-4F2C-9BD6-3279D1FE3E91}"/>
    <cellStyle name="60% - akcent 6 30" xfId="1430" xr:uid="{1D77CE69-9F5D-472D-8E79-DC60C242C444}"/>
    <cellStyle name="60% - akcent 6 30 2" xfId="2685" xr:uid="{07CE256B-7348-4CB3-A10F-71FB22B38D34}"/>
    <cellStyle name="60% - akcent 6 31" xfId="1431" xr:uid="{614ACA1B-03E1-44A0-892A-285D4CE7DEC7}"/>
    <cellStyle name="60% - akcent 6 31 2" xfId="2585" xr:uid="{0A8915A8-7021-4E33-A19B-EBBF7424CB62}"/>
    <cellStyle name="60% - akcent 6 32" xfId="1432" xr:uid="{C87B72F4-5AEB-47EF-B72E-A817B1C427C3}"/>
    <cellStyle name="60% - akcent 6 32 2" xfId="2796" xr:uid="{68224520-CD8B-489E-A095-CB055525C168}"/>
    <cellStyle name="60% - akcent 6 33" xfId="1433" xr:uid="{C10F7E56-F3CB-4864-8F7D-6B1E5F7EAFCA}"/>
    <cellStyle name="60% - akcent 6 33 2" xfId="2722" xr:uid="{4076123B-91C4-42F7-93C8-EF5D517C2F78}"/>
    <cellStyle name="60% - akcent 6 34" xfId="1434" xr:uid="{7F69ACBE-E49E-472E-9292-D33A64BD04FF}"/>
    <cellStyle name="60% - akcent 6 34 2" xfId="2753" xr:uid="{BF7E23E5-0761-4A8C-916F-1252D7B58009}"/>
    <cellStyle name="60% - akcent 6 35" xfId="1435" xr:uid="{0853FA9C-7CFA-4D32-99AF-B6C6BB9BD4B6}"/>
    <cellStyle name="60% - akcent 6 35 2" xfId="2740" xr:uid="{14E988CA-1241-47D7-BBB6-D337C50EE2AC}"/>
    <cellStyle name="60% - akcent 6 36" xfId="1436" xr:uid="{C230BC20-07E0-4649-98A3-807212F48DE6}"/>
    <cellStyle name="60% - akcent 6 36 2" xfId="2741" xr:uid="{68553D6B-9AB7-4FD5-8A27-F7E78A3CB4A6}"/>
    <cellStyle name="60% - akcent 6 37" xfId="1437" xr:uid="{B25E64A3-3E47-44BD-A567-825283158DF5}"/>
    <cellStyle name="60% - akcent 6 37 2" xfId="2970" xr:uid="{7E8AA72F-718D-42C3-88D7-A22EC697B0C3}"/>
    <cellStyle name="60% - akcent 6 38" xfId="1438" xr:uid="{84439745-6A40-4ADF-A6FC-ABBFFD22094D}"/>
    <cellStyle name="60% - akcent 6 38 2" xfId="2648" xr:uid="{D4ECE189-157F-45AF-A767-13260761A47E}"/>
    <cellStyle name="60% - akcent 6 39" xfId="1439" xr:uid="{CC1B426E-AB6A-4E4E-968E-1D0A047A686E}"/>
    <cellStyle name="60% - akcent 6 39 2" xfId="2770" xr:uid="{AD0348AD-EE9D-44A8-A718-10ED2621BBB4}"/>
    <cellStyle name="60% - akcent 6 4" xfId="1440" xr:uid="{3E46B1A2-EE53-48F4-A9CE-E6DE6373E1D8}"/>
    <cellStyle name="60% — akcent 6 4" xfId="1441" xr:uid="{41BA0B3B-C563-49CC-99C2-0974AF9E63B6}"/>
    <cellStyle name="60% — akcent 6 4 2" xfId="1442" xr:uid="{43EE0421-BDB1-4985-A262-6F828350EEBD}"/>
    <cellStyle name="60% - akcent 6 40" xfId="1443" xr:uid="{4C8F2111-2DC8-4950-BAAD-4C8C3627E801}"/>
    <cellStyle name="60% - akcent 6 40 2" xfId="2873" xr:uid="{2DAA60A4-8902-4914-B170-517EBD8F8CC1}"/>
    <cellStyle name="60% - akcent 6 41" xfId="1444" xr:uid="{DC32AB96-508A-4CE2-B457-A7CABC0C2B09}"/>
    <cellStyle name="60% - akcent 6 41 2" xfId="3063" xr:uid="{90E7ABF6-8C94-4C44-86DF-AB07A5696A0B}"/>
    <cellStyle name="60% - akcent 6 42" xfId="1445" xr:uid="{ABCC8B0B-9BE4-486F-893D-FEFC3011DB09}"/>
    <cellStyle name="60% - akcent 6 42 2" xfId="2602" xr:uid="{ECD4B0A0-A7C9-4048-A078-28536E50B1B2}"/>
    <cellStyle name="60% - akcent 6 43" xfId="1446" xr:uid="{7CF46C18-AB12-427A-AB97-8F6B5AA5BD76}"/>
    <cellStyle name="60% - akcent 6 43 2" xfId="2788" xr:uid="{2AAC8944-675F-4AF1-A151-77BA4930FA45}"/>
    <cellStyle name="60% - akcent 6 44" xfId="1447" xr:uid="{87BCC89D-9E33-444B-BD77-67448326D921}"/>
    <cellStyle name="60% - akcent 6 44 2" xfId="3237" xr:uid="{2A927313-251C-498B-A1C9-A473ADCD61E6}"/>
    <cellStyle name="60% - akcent 6 45" xfId="1448" xr:uid="{44918AA7-6772-42C5-BDEB-BCB8E86F7DAA}"/>
    <cellStyle name="60% - akcent 6 45 2" xfId="3245" xr:uid="{07F7E111-A42E-4184-9214-104BB6498F76}"/>
    <cellStyle name="60% - akcent 6 46" xfId="1449" xr:uid="{F9C50A6A-DB77-4AE5-A3FC-47EDE2C60C25}"/>
    <cellStyle name="60% - akcent 6 46 2" xfId="3306" xr:uid="{E3A584ED-791B-4260-A48C-6A1289F2F9DB}"/>
    <cellStyle name="60% - akcent 6 47" xfId="1450" xr:uid="{5FC74756-7F20-43B3-951B-33A3847C4C2F}"/>
    <cellStyle name="60% - akcent 6 47 2" xfId="3305" xr:uid="{00964C7D-494C-42C4-89DB-C349CE0AFFCF}"/>
    <cellStyle name="60% - akcent 6 48" xfId="1451" xr:uid="{DAB4C89A-4A7E-49E8-A18A-EEA49511C1E9}"/>
    <cellStyle name="60% - akcent 6 48 2" xfId="3295" xr:uid="{B70A9B03-8AF8-4710-BE86-E4E8FA028A14}"/>
    <cellStyle name="60% - akcent 6 49" xfId="1452" xr:uid="{8F4AED46-313E-414B-9289-7EEF27BDB3AD}"/>
    <cellStyle name="60% - akcent 6 49 2" xfId="3262" xr:uid="{37E602C8-9E10-4AD3-AEFB-E7A9356A926C}"/>
    <cellStyle name="60% - akcent 6 5" xfId="1453" xr:uid="{77279358-845B-4084-942C-0F3021D85549}"/>
    <cellStyle name="60% — akcent 6 5" xfId="1454" xr:uid="{99C06090-DA9A-44EF-8F30-F4A91335B16A}"/>
    <cellStyle name="60% — akcent 6 5 2" xfId="1455" xr:uid="{52B9C9D1-A6B6-4989-9D1E-1F5BB949C597}"/>
    <cellStyle name="60% - akcent 6 50" xfId="1456" xr:uid="{E2B5A5C7-79F7-4477-87D7-0A2CD50849EF}"/>
    <cellStyle name="60% - akcent 6 51" xfId="1457" xr:uid="{EE94C3D2-5DE4-4D19-861D-E7827A0D941A}"/>
    <cellStyle name="60% - akcent 6 52" xfId="2295" xr:uid="{A5F21C47-AC8B-46D4-9CA6-A081A41BBE63}"/>
    <cellStyle name="60% - akcent 6 6" xfId="1458" xr:uid="{FAD0BB10-6F9C-4819-823E-3B62A6C859D1}"/>
    <cellStyle name="60% — akcent 6 6" xfId="1459" xr:uid="{718793AA-F5D3-4A27-9846-99E3F4CBE85E}"/>
    <cellStyle name="60% — akcent 6 6 2" xfId="1460" xr:uid="{12367512-57B5-4A63-BD90-EA979917EC7C}"/>
    <cellStyle name="60% - akcent 6 7" xfId="1461" xr:uid="{F5945EF4-9E8C-4694-B35A-0CE0C0B674D8}"/>
    <cellStyle name="60% - akcent 6 8" xfId="1462" xr:uid="{D9AF46F1-385C-41BA-AB29-484C25F2605E}"/>
    <cellStyle name="60% - akcent 6 8 2" xfId="2532" xr:uid="{4FC2E7FB-F279-47F1-B078-49F06C761F98}"/>
    <cellStyle name="60% - akcent 6 9" xfId="1463" xr:uid="{2AEBE1F9-50B4-4E46-9B4A-0552CB5BC835}"/>
    <cellStyle name="60% - akcent 6 9 2" xfId="2691" xr:uid="{4BD3D507-E0E7-4406-B8E6-DC560D17E680}"/>
    <cellStyle name="60% — akcent 6_03ceny14" xfId="1464" xr:uid="{028B3718-374B-4630-871B-E40CC7B558BF}"/>
    <cellStyle name="60% - akcent 6_03ceny36" xfId="1465" xr:uid="{7B0CCCF9-5615-4E63-A49B-4840C72A60F1}"/>
    <cellStyle name="60% — akcent 6_03ceny39" xfId="1466" xr:uid="{C1BF4319-8001-4066-B6AD-68021C14BC7F}"/>
    <cellStyle name="60% - akcent 6_Arkusz1" xfId="1467" xr:uid="{CD568DA0-96FF-46D5-815A-D8CBE87E1B14}"/>
    <cellStyle name="60% — akcent 6_Arkusz1" xfId="3471" xr:uid="{45F9D349-029C-4A9E-8ABD-663171F39769}"/>
    <cellStyle name="60% - akcent 6_dodatki" xfId="1468" xr:uid="{5D6ED2B3-B407-4034-B3AE-59C26812002E}"/>
    <cellStyle name="60% — akcent 6_dodatki" xfId="1469" xr:uid="{9766121A-3BBD-449C-8485-E55C3017AD86}"/>
    <cellStyle name="60% - akcent 6_grupy" xfId="1470" xr:uid="{868B10CD-C367-4483-A0EB-BD82EBC3B28D}"/>
    <cellStyle name="60% — akcent 6_grupy" xfId="1471" xr:uid="{3EAA36A5-54D6-4B52-8F46-739A7BCC1907}"/>
    <cellStyle name="60% - akcent 6_NFoto4" xfId="1472" xr:uid="{58361C6F-3500-46A9-82DF-C23E69621581}"/>
    <cellStyle name="60% — akcent 6_NFoto4" xfId="1473" xr:uid="{499DEBFA-5A64-47C5-902E-590004EF6568}"/>
    <cellStyle name="60% - akcent 6_NVersp50" xfId="1474" xr:uid="{7BAFE586-D833-48E6-B849-02A99FB4510B}"/>
    <cellStyle name="60% — akcent 6_NVersp70" xfId="1475" xr:uid="{DB1227BC-4F05-42DA-AD70-9E2EA15322A5}"/>
    <cellStyle name="60% - akcent 6_slownik" xfId="1476" xr:uid="{40F9F56D-478D-40EA-8C66-6233825A6B46}"/>
    <cellStyle name="60% — akcent 6_slownik" xfId="1477" xr:uid="{0BF8B948-7A4D-430A-9499-05777839D9C1}"/>
    <cellStyle name="60% - akcent 6_slownik_1" xfId="1478" xr:uid="{249493CD-C313-4766-9AAC-22FE684F9D82}"/>
    <cellStyle name="60% — akcent 6_slownik_1" xfId="1479" xr:uid="{3AAF0890-92CE-4E70-B783-6D04C531D09B}"/>
    <cellStyle name="60% - akcent 6_slownik_1_slownik" xfId="3472" xr:uid="{06591F97-F99D-4F6A-870E-0979F0378938}"/>
    <cellStyle name="60% — akcent 6_slownik_1_slownik" xfId="3473" xr:uid="{A9D09393-DA1B-46E6-9DCE-C36D07DD0299}"/>
    <cellStyle name="60% - akcent 6_slownik_2" xfId="3474" xr:uid="{FF4E7B8A-D39A-444E-BC8D-8EBA765BC17F}"/>
    <cellStyle name="60% — akcent 6_slownik_2" xfId="3475" xr:uid="{D1F631D5-EE26-4373-ACDA-D6CAF0E582C4}"/>
    <cellStyle name="60% - akcent 6_slownik_slownik" xfId="3476" xr:uid="{1D122FAF-6A56-4DAA-9E5F-AF380301A0F4}"/>
    <cellStyle name="60% — akcent 6_slownik_slownik" xfId="3477" xr:uid="{963B5B4F-E133-4BF0-B911-90A8C4544BB4}"/>
    <cellStyle name="Accent" xfId="1480" xr:uid="{F1860258-0858-456B-BBB4-DBF251D4F8F9}"/>
    <cellStyle name="Accent 1" xfId="1481" xr:uid="{8FD64A2C-D823-47DA-B633-C25FCD10ED95}"/>
    <cellStyle name="Accent 1 14" xfId="1482" xr:uid="{3A2E386B-B159-4A64-93AF-BB80E9F99CAA}"/>
    <cellStyle name="Accent 1_slownik" xfId="1483" xr:uid="{BE26C0AA-48EF-44D5-829C-055A0E659D04}"/>
    <cellStyle name="Accent 13" xfId="1484" xr:uid="{332A7004-68C0-4D39-BFFB-05F06C70E955}"/>
    <cellStyle name="Accent 2" xfId="1485" xr:uid="{8416B2BB-90FD-44BC-8E2C-DB542096AE65}"/>
    <cellStyle name="Accent 2 15" xfId="1486" xr:uid="{DECF95A6-1690-46B9-9EC5-AC2FE1A2D1C4}"/>
    <cellStyle name="Accent 2_slownik" xfId="1487" xr:uid="{A000B059-71DB-45BF-912F-772D25D16A7F}"/>
    <cellStyle name="Accent 3" xfId="1488" xr:uid="{F6D3195F-EADB-4D81-8EE4-3A9B813972EF}"/>
    <cellStyle name="Accent 3 16" xfId="1489" xr:uid="{79C8A464-34F1-49C2-91AE-47387621C3AF}"/>
    <cellStyle name="Accent 3_slownik" xfId="1490" xr:uid="{A1723149-DF33-473A-BEAD-6AC4C81425EF}"/>
    <cellStyle name="Accent_slownik" xfId="1491" xr:uid="{50FDB072-6316-4EC7-9871-F2A6BEB7E7FC}"/>
    <cellStyle name="Accent1" xfId="1492" xr:uid="{D36802DB-F1A3-46F6-98E3-B973CE0B175B}"/>
    <cellStyle name="Accent1 - 20%" xfId="1493" xr:uid="{F5A5599C-E3DF-40F0-9BF0-A17D55DAF110}"/>
    <cellStyle name="Accent1 - 20% 2" xfId="1494" xr:uid="{247FE606-A0C4-477C-9958-EE811A1E9C5F}"/>
    <cellStyle name="Accent1 - 20% 2 2" xfId="2297" xr:uid="{E2100BF5-B72B-4069-BB58-3D24B5519E90}"/>
    <cellStyle name="Accent1 - 20% 2_IMPORT" xfId="3478" xr:uid="{1D8AAB91-603F-4DE7-B420-D5FA5BA0FC8A}"/>
    <cellStyle name="Accent1 - 20% 3" xfId="1495" xr:uid="{4B8D153C-8C3A-415A-B35D-40144F91A4E6}"/>
    <cellStyle name="Accent1 - 20% 3 2" xfId="2298" xr:uid="{122A3D31-5FB1-4439-9EDD-972F8EC8E476}"/>
    <cellStyle name="Accent1 - 20% 3_IMPORT" xfId="3479" xr:uid="{53ABBD10-D399-4F6D-9B7A-6646BE786980}"/>
    <cellStyle name="Accent1 - 20% 4" xfId="1496" xr:uid="{9A9DAA51-644E-4FB8-8D89-F371CD29E538}"/>
    <cellStyle name="Accent1 - 20% 4 2" xfId="2379" xr:uid="{FA3B011A-860E-4D65-81E7-3E1FD6736960}"/>
    <cellStyle name="Accent1 - 20% 5" xfId="2296" xr:uid="{F59D16EE-6104-414C-A7CC-C3CE14C31AE3}"/>
    <cellStyle name="Accent1 - 20%_03ceny39" xfId="1497" xr:uid="{73DCF03A-0516-448C-BBDF-453C37759B52}"/>
    <cellStyle name="Accent1 - 40%" xfId="1498" xr:uid="{3CA9034E-73B4-4888-96AA-8131E94F37E4}"/>
    <cellStyle name="Accent1 - 40% 2" xfId="1499" xr:uid="{611A7DDD-FC71-4828-94F5-A14559E567C7}"/>
    <cellStyle name="Accent1 - 40% 2 2" xfId="2405" xr:uid="{CAD98326-8050-49BD-AE8F-3EFBDFFA3255}"/>
    <cellStyle name="Accent1 - 40% 3" xfId="2299" xr:uid="{F18C91A0-E4F7-471D-95B4-664C70B2459F}"/>
    <cellStyle name="Accent1 - 40%_Additional price" xfId="1500" xr:uid="{591636DC-E0B1-4CC1-8893-0A74890F7841}"/>
    <cellStyle name="Accent1 - 60%" xfId="1501" xr:uid="{6342E94D-0D0A-4F7E-A895-A98D4572DA73}"/>
    <cellStyle name="Accent1 - 60% 2" xfId="1502" xr:uid="{0C4B35F0-96F1-4F11-8950-A8FBF9311D29}"/>
    <cellStyle name="Accent1 - 60%_Additional price" xfId="1503" xr:uid="{1971E0D0-2197-475D-ACDB-E10C53329AC3}"/>
    <cellStyle name="Accent1 2" xfId="1504" xr:uid="{2390C4C0-A7FC-4471-B8BA-0A58CB21D46A}"/>
    <cellStyle name="Accent1 3" xfId="1505" xr:uid="{DB2CA31D-AA6E-47C0-8820-1260ED73145D}"/>
    <cellStyle name="Accent1 4" xfId="1506" xr:uid="{A6840FBB-73D7-4076-884A-2D98C585AAF5}"/>
    <cellStyle name="Accent1 5" xfId="1507" xr:uid="{1BCA6015-B654-4C04-91B1-104C3A6A7508}"/>
    <cellStyle name="Accent1 6" xfId="1508" xr:uid="{92BA619F-CD39-488F-9A0B-B376C182AEC5}"/>
    <cellStyle name="Accent1 7" xfId="1509" xr:uid="{F46C3073-10A5-44F5-831E-2F008571C030}"/>
    <cellStyle name="Accent1 8" xfId="1510" xr:uid="{7A8EAC7D-58E1-408F-AC93-477E06F0CB96}"/>
    <cellStyle name="Accent1_50_ceny" xfId="1511" xr:uid="{E599A0BD-E960-4CAD-BB5C-67FF8CB363A2}"/>
    <cellStyle name="Accent2" xfId="1512" xr:uid="{F5AFCCC8-E2C7-485F-9C8D-7086A09EFF8C}"/>
    <cellStyle name="Accent2 - 20%" xfId="1513" xr:uid="{DCD24533-13F5-4B9B-816D-BB90B88FFDFB}"/>
    <cellStyle name="Accent2 - 20% 2" xfId="1514" xr:uid="{94D19732-AADA-4694-AD1F-EEEB62385ED1}"/>
    <cellStyle name="Accent2 - 20% 2 2" xfId="2301" xr:uid="{8469062D-D586-4412-97D9-042BE0E3B1ED}"/>
    <cellStyle name="Accent2 - 20% 2_IMPORT" xfId="3480" xr:uid="{039C7B92-7C7D-49AB-BAFA-2A28E3B817AB}"/>
    <cellStyle name="Accent2 - 20% 3" xfId="1515" xr:uid="{31B640A8-90CB-42AC-A981-C330833B0AC5}"/>
    <cellStyle name="Accent2 - 20% 3 2" xfId="2302" xr:uid="{7E24CF4F-32DC-4290-8E2A-08B40199A879}"/>
    <cellStyle name="Accent2 - 20% 3_IMPORT" xfId="3481" xr:uid="{DEDD564F-DC24-40AF-9BA0-0EF0B43459C6}"/>
    <cellStyle name="Accent2 - 20% 4" xfId="1516" xr:uid="{C9227D84-171B-477A-AE6D-E861A84D0F14}"/>
    <cellStyle name="Accent2 - 20% 4 2" xfId="2380" xr:uid="{6F2DD5FE-FB1F-4D97-A5F7-6EBBC0D691D0}"/>
    <cellStyle name="Accent2 - 20% 5" xfId="2300" xr:uid="{3BD0B454-FAB4-4562-80C4-A2B69FBC0B1A}"/>
    <cellStyle name="Accent2 - 20%_03ceny39" xfId="1517" xr:uid="{DFCA8FB2-F3F4-428D-9A16-FCB648D7C817}"/>
    <cellStyle name="Accent2 - 40%" xfId="1518" xr:uid="{9418522D-5786-482D-B1BC-2281DC6875F7}"/>
    <cellStyle name="Accent2 - 40% 2" xfId="1519" xr:uid="{C50D671C-1E88-4B39-BF21-580F70B2E02E}"/>
    <cellStyle name="Accent2 - 40% 2 2" xfId="2406" xr:uid="{1A666BA9-34D5-4AFC-AD5D-E972E6C92D05}"/>
    <cellStyle name="Accent2 - 40% 3" xfId="2303" xr:uid="{01138DD3-49E2-417B-858E-3552AA675238}"/>
    <cellStyle name="Accent2 - 40%_Additional price" xfId="1520" xr:uid="{C82690F4-A26E-4D3A-A4EA-C9852D759C91}"/>
    <cellStyle name="Accent2 - 60%" xfId="1521" xr:uid="{75E9163C-F4EA-4BB7-A191-2D9FAC4986AE}"/>
    <cellStyle name="Accent2 - 60% 2" xfId="1522" xr:uid="{700865A8-98B5-4DA2-A487-F28D7F96EC9E}"/>
    <cellStyle name="Accent2 - 60%_Additional price" xfId="1523" xr:uid="{72E021A5-4683-472C-9C14-4DAAF09C9640}"/>
    <cellStyle name="Accent2 2" xfId="1524" xr:uid="{8A582224-E35E-40BB-B19E-0F677B287838}"/>
    <cellStyle name="Accent2 3" xfId="1525" xr:uid="{E7347406-3E41-4B53-AEC1-2891B807CA10}"/>
    <cellStyle name="Accent2 4" xfId="1526" xr:uid="{9DE52CD2-A0F5-4BCF-88DD-CC67937679C8}"/>
    <cellStyle name="Accent2 5" xfId="1527" xr:uid="{F104B9B5-FB8D-4EE9-8E41-10D62DBEB97C}"/>
    <cellStyle name="Accent2 6" xfId="1528" xr:uid="{54767D29-2265-4216-95B0-FE8E8F2B04B1}"/>
    <cellStyle name="Accent2 7" xfId="1529" xr:uid="{DF9E7A1C-B7F9-4C15-AF80-745503259E2C}"/>
    <cellStyle name="Accent2 8" xfId="1530" xr:uid="{F36AD338-C04B-4737-841C-75EF64440489}"/>
    <cellStyle name="Accent2_50_ceny" xfId="1531" xr:uid="{1B874E48-D36F-4686-944E-628D36E50CE0}"/>
    <cellStyle name="Accent3" xfId="1532" xr:uid="{BF0EF5D6-77FF-49AA-96F2-D961BFFD7D12}"/>
    <cellStyle name="Accent3 - 20%" xfId="1533" xr:uid="{1C2726CF-0A88-4398-8005-CDA7D4721397}"/>
    <cellStyle name="Accent3 - 20% 2" xfId="1534" xr:uid="{761996D4-C386-410B-9ED9-1F8BC7961722}"/>
    <cellStyle name="Accent3 - 20% 2 2" xfId="2305" xr:uid="{94231C94-1C97-4B6E-869D-295D7EB7D1EB}"/>
    <cellStyle name="Accent3 - 20% 2_IMPORT" xfId="3482" xr:uid="{17C5070E-096A-40AC-B9CB-3B28FF036F69}"/>
    <cellStyle name="Accent3 - 20% 3" xfId="1535" xr:uid="{B250D26A-26B5-4232-AF83-730CBA9CCD1D}"/>
    <cellStyle name="Accent3 - 20% 3 2" xfId="2306" xr:uid="{E0DE2E56-2D70-4373-9986-851E526AAA0A}"/>
    <cellStyle name="Accent3 - 20% 3_IMPORT" xfId="3483" xr:uid="{130BC3C8-E4A3-4F4A-B8B4-34A1EA8DB9D2}"/>
    <cellStyle name="Accent3 - 20% 4" xfId="1536" xr:uid="{5F3AF5B2-F736-436D-B81F-122A0BB1C8BF}"/>
    <cellStyle name="Accent3 - 20% 4 2" xfId="2381" xr:uid="{F9E9BDBA-9741-4D70-B260-F652F54D9E36}"/>
    <cellStyle name="Accent3 - 20% 5" xfId="2304" xr:uid="{0A430420-AC83-4FF6-9365-137C81DF94C9}"/>
    <cellStyle name="Accent3 - 20%_03ceny39" xfId="1537" xr:uid="{36FAF4D3-FECE-433B-9E63-FDAB84FCACAC}"/>
    <cellStyle name="Accent3 - 40%" xfId="1538" xr:uid="{5092A5BA-7D1C-457A-A51C-BBE5FBEBFB44}"/>
    <cellStyle name="Accent3 - 40% 2" xfId="1539" xr:uid="{48E66349-6ACD-4A45-BADC-0593253A6D67}"/>
    <cellStyle name="Accent3 - 40% 2 2" xfId="2308" xr:uid="{932935E6-E267-484C-91DC-AAD7D54800DD}"/>
    <cellStyle name="Accent3 - 40% 2_IMPORT" xfId="3484" xr:uid="{A8376C73-4E56-444F-B040-8D243A32A77D}"/>
    <cellStyle name="Accent3 - 40% 3" xfId="1540" xr:uid="{368A4B4C-F725-4109-A81C-E1E784A44DD3}"/>
    <cellStyle name="Accent3 - 40% 3 2" xfId="2309" xr:uid="{3CFFE616-90D8-4B7C-B8EE-94A71043EB1D}"/>
    <cellStyle name="Accent3 - 40% 3_IMPORT" xfId="3485" xr:uid="{B1806419-9147-4063-98CB-089D9A885905}"/>
    <cellStyle name="Accent3 - 40% 4" xfId="1541" xr:uid="{8BDA9E34-F79B-46F2-B305-C2A98323823C}"/>
    <cellStyle name="Accent3 - 40% 4 2" xfId="2382" xr:uid="{61A94B46-6C80-4640-A564-1B8656391AE4}"/>
    <cellStyle name="Accent3 - 40% 5" xfId="2307" xr:uid="{D748EDD9-929E-4835-931A-D1E08FC6231F}"/>
    <cellStyle name="Accent3 - 40%_03ceny39" xfId="1542" xr:uid="{9CC52FE3-C1D6-4AA7-9F22-5A9197D0AA59}"/>
    <cellStyle name="Accent3 - 60%" xfId="1543" xr:uid="{9415F055-8897-40C2-AAE0-D4C6F81412B4}"/>
    <cellStyle name="Accent3 - 60% 2" xfId="1544" xr:uid="{381D2611-6A8D-4990-9BF5-499726B8DAB0}"/>
    <cellStyle name="Accent3 - 60%_Additional price" xfId="1545" xr:uid="{4B2B6DB2-18B2-4813-8967-7D29582E1247}"/>
    <cellStyle name="Accent3 2" xfId="1546" xr:uid="{FA384F9B-6509-4A94-AE30-232B27A09C27}"/>
    <cellStyle name="Accent3 3" xfId="1547" xr:uid="{D053B7EA-A829-49ED-8722-D658D1095251}"/>
    <cellStyle name="Accent3 4" xfId="1548" xr:uid="{64E46292-8CF1-41D2-B72D-16C38A8B7BCB}"/>
    <cellStyle name="Accent3 5" xfId="1549" xr:uid="{999DFB7E-50B3-4E3F-87F1-F94F89F05957}"/>
    <cellStyle name="Accent3 6" xfId="1550" xr:uid="{F4D31224-DB8D-4685-A062-4ED5BE18D26E}"/>
    <cellStyle name="Accent3 7" xfId="1551" xr:uid="{3158E384-F860-478F-8077-6EEF120C66EE}"/>
    <cellStyle name="Accent3 8" xfId="1552" xr:uid="{C62C2D99-C9E3-4C19-8265-14C19B3B3CB9}"/>
    <cellStyle name="Accent3_50_ceny" xfId="1553" xr:uid="{0995331E-1029-4674-9206-992303B66993}"/>
    <cellStyle name="Accent4" xfId="1554" xr:uid="{5CB1EDB0-A4F7-4511-B482-2F33D29CB54E}"/>
    <cellStyle name="Accent4 - 20%" xfId="1555" xr:uid="{3FEB9D74-098A-4220-A6E5-809A67DE2F58}"/>
    <cellStyle name="Accent4 - 20% 2" xfId="1556" xr:uid="{66A7E9F6-7DC2-4923-AC69-06E9926B9967}"/>
    <cellStyle name="Accent4 - 20% 2 2" xfId="2311" xr:uid="{2F4266EC-0FD4-459C-BCAB-028D5995BD85}"/>
    <cellStyle name="Accent4 - 20% 2_IMPORT" xfId="3486" xr:uid="{58AD17B3-CFC5-4466-96C7-072594F8D668}"/>
    <cellStyle name="Accent4 - 20% 3" xfId="1557" xr:uid="{5F81629A-D756-42B7-BA97-7F85FCCD5FEC}"/>
    <cellStyle name="Accent4 - 20% 3 2" xfId="2312" xr:uid="{EE469F82-7544-4F83-BD61-95F57561E678}"/>
    <cellStyle name="Accent4 - 20% 3_IMPORT" xfId="3487" xr:uid="{6B828150-3182-4631-8DF1-8F7DA584A1E2}"/>
    <cellStyle name="Accent4 - 20% 4" xfId="1558" xr:uid="{A4E484DC-8F25-483C-BA67-25A15E800FF7}"/>
    <cellStyle name="Accent4 - 20% 4 2" xfId="2383" xr:uid="{0E92ADD2-2DAE-45BE-8FB4-B6B267501356}"/>
    <cellStyle name="Accent4 - 20% 5" xfId="2310" xr:uid="{14EC3D73-ABB0-45D6-BA28-C626EC0C8A4A}"/>
    <cellStyle name="Accent4 - 20%_03ceny39" xfId="1559" xr:uid="{F3293C82-70F1-4242-8045-2A1713A84BDB}"/>
    <cellStyle name="Accent4 - 40%" xfId="1560" xr:uid="{8A973E8A-E259-479A-BFEF-8E9EDDEEF5D7}"/>
    <cellStyle name="Accent4 - 40% 2" xfId="1561" xr:uid="{EE698C69-341B-428F-B1C4-FCFE0342F01A}"/>
    <cellStyle name="Accent4 - 40% 2 2" xfId="2407" xr:uid="{D10192B6-1AF5-43C2-B654-14780C5EC146}"/>
    <cellStyle name="Accent4 - 40% 3" xfId="2313" xr:uid="{84338A51-7128-4D49-9666-3B23ABD7D22F}"/>
    <cellStyle name="Accent4 - 40%_Additional price" xfId="1562" xr:uid="{ABAA277D-1248-4219-A1D8-6E1D13159DE5}"/>
    <cellStyle name="Accent4 - 60%" xfId="1563" xr:uid="{B722054D-6AC7-4D64-91E7-3254CCA0A91E}"/>
    <cellStyle name="Accent4 - 60% 2" xfId="1564" xr:uid="{6CF51BC8-0239-40DC-B2A1-1DD33661688D}"/>
    <cellStyle name="Accent4 - 60%_Additional price" xfId="1565" xr:uid="{0773E215-B770-404E-8411-68803021411C}"/>
    <cellStyle name="Accent4 2" xfId="1566" xr:uid="{10C53E6D-7BAB-4C74-9F4B-EBA4A88B8C0C}"/>
    <cellStyle name="Accent4 3" xfId="1567" xr:uid="{7BA5CDF8-8A2C-4276-8629-E1C776A7CDE7}"/>
    <cellStyle name="Accent4 4" xfId="1568" xr:uid="{38B2FCA6-49FD-4CD7-9C83-50AE4B59839C}"/>
    <cellStyle name="Accent4 5" xfId="1569" xr:uid="{39C3CA4E-CAC6-472C-805B-328548A2FDF8}"/>
    <cellStyle name="Accent4 6" xfId="1570" xr:uid="{20EA853F-88E1-45DD-811B-2936110E75C3}"/>
    <cellStyle name="Accent4 7" xfId="1571" xr:uid="{5C038D54-B138-45B7-8DAC-793394617DAF}"/>
    <cellStyle name="Accent4 8" xfId="1572" xr:uid="{7F917B36-A85C-45D6-8BD9-D471F71484B8}"/>
    <cellStyle name="Accent4_50_ceny" xfId="1573" xr:uid="{72BDC905-9BE4-48C5-AAD1-A0DE7303DD99}"/>
    <cellStyle name="Accent5" xfId="1574" xr:uid="{F6940A8A-80DF-448F-A4EE-C11C39DD021F}"/>
    <cellStyle name="Accent5 - 20%" xfId="1575" xr:uid="{0D13A2F2-C706-442A-A2D6-741B9C3F2470}"/>
    <cellStyle name="Accent5 - 20% 2" xfId="1576" xr:uid="{F5B40FB6-0003-4687-9758-77A13C6FA616}"/>
    <cellStyle name="Accent5 - 20% 2 2" xfId="2315" xr:uid="{FEB8F005-A96B-40E4-988F-BCACD2E89C2A}"/>
    <cellStyle name="Accent5 - 20% 2_IMPORT" xfId="3488" xr:uid="{332C938F-FB80-46FF-8C0E-749DDA3CEBBC}"/>
    <cellStyle name="Accent5 - 20% 3" xfId="1577" xr:uid="{7165DE7C-0FE5-4ECE-A0FF-72B7A78D00FE}"/>
    <cellStyle name="Accent5 - 20% 3 2" xfId="2316" xr:uid="{CE702667-09E9-45A5-A384-8B89955E6CF3}"/>
    <cellStyle name="Accent5 - 20% 3_IMPORT" xfId="3489" xr:uid="{1A577F3C-F8F8-4AA2-B78B-F041BFCF974E}"/>
    <cellStyle name="Accent5 - 20% 4" xfId="1578" xr:uid="{A091BA03-5DA4-4300-9AE2-35FAD5B28D6E}"/>
    <cellStyle name="Accent5 - 20% 4 2" xfId="2384" xr:uid="{4D55F760-41A1-4E06-A026-ED5018FDADA0}"/>
    <cellStyle name="Accent5 - 20% 5" xfId="2314" xr:uid="{4BCEF7F6-E84E-4C82-9627-4FE916CB199D}"/>
    <cellStyle name="Accent5 - 20%_03ceny39" xfId="1579" xr:uid="{FCC44CE6-3606-4C85-92E6-FD74BFE659CE}"/>
    <cellStyle name="Accent5 - 40%" xfId="1580" xr:uid="{FC226608-E74E-4985-BC32-9C7E29ACE935}"/>
    <cellStyle name="Accent5 - 40% 2" xfId="1581" xr:uid="{E14EE6E0-36E9-4508-84F0-F2AFD4E17327}"/>
    <cellStyle name="Accent5 - 40% 2 2" xfId="2318" xr:uid="{ECDCEE11-820B-49D4-AD92-B61F63FB5F29}"/>
    <cellStyle name="Accent5 - 40% 2_IMPORT" xfId="3490" xr:uid="{A823A792-9B1A-407F-A05F-76C79BE533CE}"/>
    <cellStyle name="Accent5 - 40% 3" xfId="1582" xr:uid="{73357FBD-BA2C-43E4-8FA6-F2CD31EB55A1}"/>
    <cellStyle name="Accent5 - 40% 3 2" xfId="2319" xr:uid="{3EF2AEF3-B72C-4BD4-850A-A1AF68E07BF1}"/>
    <cellStyle name="Accent5 - 40% 3_IMPORT" xfId="3491" xr:uid="{2A8BB9B3-7F78-4C88-A0D5-A28ABCEF09C7}"/>
    <cellStyle name="Accent5 - 40% 4" xfId="1583" xr:uid="{CFCF53E2-3EA9-43AA-95B1-D37D4447BA16}"/>
    <cellStyle name="Accent5 - 40% 4 2" xfId="2385" xr:uid="{4E145898-E320-4FB2-9512-80B43521481A}"/>
    <cellStyle name="Accent5 - 40% 5" xfId="2317" xr:uid="{ABAA5226-63CE-4290-84AA-65B49E9E15DC}"/>
    <cellStyle name="Accent5 - 40%_03ceny39" xfId="1584" xr:uid="{A85DB84F-CD7C-4EA7-9B77-E411D908C766}"/>
    <cellStyle name="Accent5 - 60%" xfId="1585" xr:uid="{C3413912-0AE2-407E-8FEE-3CFBDFC4D698}"/>
    <cellStyle name="Accent5 - 60% 2" xfId="1586" xr:uid="{80021F03-D174-4AE3-872A-A546C96F4678}"/>
    <cellStyle name="Accent5 - 60%_Additional price" xfId="1587" xr:uid="{C08C217F-A5F5-431A-AA82-60FF02348028}"/>
    <cellStyle name="Accent5 2" xfId="1588" xr:uid="{B97C2A72-C746-4BDD-AB68-5FD970483FD8}"/>
    <cellStyle name="Accent5 3" xfId="1589" xr:uid="{C13CF254-4A6E-4A90-A19F-E4E06AED093A}"/>
    <cellStyle name="Accent5 4" xfId="1590" xr:uid="{1B6CDCE6-6DEF-43E2-B301-84B77235B5F2}"/>
    <cellStyle name="Accent5 5" xfId="1591" xr:uid="{C69537C0-51C5-41BA-B3BA-AD3EE4F04A13}"/>
    <cellStyle name="Accent5 6" xfId="1592" xr:uid="{7B251487-7EE5-41B8-BD66-25D8C8E9C3F4}"/>
    <cellStyle name="Accent5 7" xfId="1593" xr:uid="{EF36DE44-5EA4-4447-9DCA-18CBE3ABA973}"/>
    <cellStyle name="Accent5 8" xfId="1594" xr:uid="{E269344D-D32F-4CF2-90D3-04928B8EA253}"/>
    <cellStyle name="Accent5_50_ceny" xfId="1595" xr:uid="{34CA822B-10F3-44B6-9303-736EACD746C5}"/>
    <cellStyle name="Accent6" xfId="1596" xr:uid="{51FC5A52-A6BA-4024-873A-9368051DCDC7}"/>
    <cellStyle name="Accent6 - 20%" xfId="1597" xr:uid="{782F9DD7-5952-4CC6-A39E-331F9CD34E96}"/>
    <cellStyle name="Accent6 - 20% 2" xfId="1598" xr:uid="{B9018196-ED2C-48F9-AB71-39533E17B6AA}"/>
    <cellStyle name="Accent6 - 20% 2 2" xfId="2408" xr:uid="{25E6ECD0-2601-4055-9F32-A1B25CB89D29}"/>
    <cellStyle name="Accent6 - 20% 3" xfId="2320" xr:uid="{3E274B69-BF71-468B-95FA-F65C55092A9B}"/>
    <cellStyle name="Accent6 - 20%_Additional price" xfId="1599" xr:uid="{2072E11C-5247-4ED3-8C5D-4A9CE7E8D4AC}"/>
    <cellStyle name="Accent6 - 40%" xfId="1600" xr:uid="{4128601C-C81B-43B3-BC2C-6A393AADCE41}"/>
    <cellStyle name="Accent6 - 40% 2" xfId="1601" xr:uid="{7F126CD2-151B-4F4B-BAA3-AFD6139CD655}"/>
    <cellStyle name="Accent6 - 40% 2 2" xfId="2322" xr:uid="{ABA8CFEA-9634-423C-BA6E-AD64CBEEB1FF}"/>
    <cellStyle name="Accent6 - 40% 2_IMPORT" xfId="3492" xr:uid="{8F8FD3C1-8F9D-4FF4-8D93-9F4BEB1A9A1D}"/>
    <cellStyle name="Accent6 - 40% 3" xfId="1602" xr:uid="{643A4192-DAB8-4408-ADBB-6E7048A72136}"/>
    <cellStyle name="Accent6 - 40% 3 2" xfId="2323" xr:uid="{849C7739-2A39-4F11-81CB-19F786430D22}"/>
    <cellStyle name="Accent6 - 40% 3_IMPORT" xfId="3493" xr:uid="{5F093B20-27C1-4BAF-968C-79510E04AE75}"/>
    <cellStyle name="Accent6 - 40% 4" xfId="2321" xr:uid="{F04D1978-D310-4524-96C8-9ED0D6D55104}"/>
    <cellStyle name="Accent6 - 40%_03ceny39" xfId="1603" xr:uid="{0F242943-4EDE-47DF-95B5-6C6FCF133A51}"/>
    <cellStyle name="Accent6 - 60%" xfId="1604" xr:uid="{195BA1A5-ACFF-4757-AD2A-6F586AA270F0}"/>
    <cellStyle name="Accent6 - 60% 2" xfId="1605" xr:uid="{9F1A1F16-2D4A-40C7-83C9-4CE56EAB431A}"/>
    <cellStyle name="Accent6 - 60% 3" xfId="1606" xr:uid="{1F95ED9E-EB3B-473F-8075-60003A6971DB}"/>
    <cellStyle name="Accent6 - 60%_03ceny39" xfId="1607" xr:uid="{4FF8E717-C573-477E-93F4-8B75E411E70C}"/>
    <cellStyle name="Accent6 2" xfId="1608" xr:uid="{809A78A3-7036-490A-875B-E108872F2706}"/>
    <cellStyle name="Accent6 3" xfId="1609" xr:uid="{52FDFE29-B1D1-471F-B843-3091E587766C}"/>
    <cellStyle name="Accent6 4" xfId="1610" xr:uid="{3DDB3938-7D21-42F6-A30D-8AD82A1FE295}"/>
    <cellStyle name="Accent6 5" xfId="1611" xr:uid="{1E2F4E77-5B9D-4804-A968-3FA5EDBB1769}"/>
    <cellStyle name="Accent6 6" xfId="1612" xr:uid="{A0A60861-8632-4885-A004-3A6FF7C70FC9}"/>
    <cellStyle name="Accent6 7" xfId="1613" xr:uid="{C6C6E879-25B0-4284-8509-1A1DFAD32BC7}"/>
    <cellStyle name="Accent6 8" xfId="1614" xr:uid="{78511F56-6D7E-4C84-AE3C-6A9915E9AFD9}"/>
    <cellStyle name="Accent6_50_ceny" xfId="1615" xr:uid="{51E6108E-3633-4587-AB1E-800C6FFCE838}"/>
    <cellStyle name="Akcent 1 1" xfId="1616" xr:uid="{64D2CC53-CE39-4C57-9A61-629C3472CC77}"/>
    <cellStyle name="Akcent 1 2" xfId="1617" xr:uid="{D623FDA6-FA66-4076-835D-667935E88D92}"/>
    <cellStyle name="Akcent 1 2 2" xfId="1618" xr:uid="{DDD67C07-81CB-47E5-94C5-43EE7731A33B}"/>
    <cellStyle name="Akcent 1 2 3" xfId="1619" xr:uid="{FDF78269-F8D9-4939-877B-2400F4684997}"/>
    <cellStyle name="Akcent 1 2 4" xfId="1620" xr:uid="{544BDB8A-805D-4F52-8953-F3B5EB85624D}"/>
    <cellStyle name="Akcent 1 3" xfId="1621" xr:uid="{036400C6-20B8-49CD-9A77-74B21AD118DE}"/>
    <cellStyle name="Akcent 1 4" xfId="1622" xr:uid="{409A47A9-1B39-4F58-A920-CD5FD4705C0C}"/>
    <cellStyle name="Akcent 1 4 2" xfId="1623" xr:uid="{1C6D76F0-EFC4-4DF0-B687-FB3E59834622}"/>
    <cellStyle name="Akcent 1 5" xfId="1624" xr:uid="{BD739C0F-C66A-45B4-9053-D0FAB44C0911}"/>
    <cellStyle name="Akcent 2 1" xfId="1625" xr:uid="{4372CD38-B39F-4092-91D3-8ABB15648863}"/>
    <cellStyle name="Akcent 2 2" xfId="1626" xr:uid="{26439E51-B4FB-4077-B488-E9E5DFA01C6A}"/>
    <cellStyle name="Akcent 2 2 2" xfId="1627" xr:uid="{6E81F121-737F-4846-BB18-A2335C3F72AF}"/>
    <cellStyle name="Akcent 2 2 3" xfId="1628" xr:uid="{E00DC0A4-10BF-40F9-A9AB-82DA5CB0F3B8}"/>
    <cellStyle name="Akcent 2 2 4" xfId="1629" xr:uid="{CB1982EE-7E96-42AA-B554-D89DE290335F}"/>
    <cellStyle name="Akcent 2 3" xfId="1630" xr:uid="{8278864F-AC92-4AA5-8610-9DF52F4D2F36}"/>
    <cellStyle name="Akcent 2 4" xfId="1631" xr:uid="{B27E30F1-6572-4E9A-BF4F-6971D7C2DE00}"/>
    <cellStyle name="Akcent 2 4 2" xfId="1632" xr:uid="{1329D366-4D9C-4CCF-B66D-5243ADBD6ADE}"/>
    <cellStyle name="Akcent 2 5" xfId="1633" xr:uid="{926E0E93-6B78-4E4A-9C4D-5F10DE5074DA}"/>
    <cellStyle name="Akcent 2 6" xfId="1634" xr:uid="{44DEF9B9-7C44-4E28-985B-8369CD7C3792}"/>
    <cellStyle name="Akcent 3 1" xfId="1635" xr:uid="{CE2C2B24-C9ED-4AA7-A858-027AE51AA421}"/>
    <cellStyle name="Akcent 3 2" xfId="1636" xr:uid="{8C39969B-0B09-4359-A802-3B59E485F22E}"/>
    <cellStyle name="Akcent 3 2 2" xfId="1637" xr:uid="{658492A7-83A8-46D8-8ECB-BA5076D4D4D2}"/>
    <cellStyle name="Akcent 3 2 3" xfId="1638" xr:uid="{76DED863-ABD1-44FB-8CC0-39101E556CCC}"/>
    <cellStyle name="Akcent 3 2 4" xfId="1639" xr:uid="{4CBFC83A-0EFA-4E15-8F8F-4F8D6A12216A}"/>
    <cellStyle name="Akcent 3 3" xfId="1640" xr:uid="{782C4CA7-2BD1-49E5-91D8-3814EC89D728}"/>
    <cellStyle name="Akcent 3 4" xfId="1641" xr:uid="{B1AFA2D7-8D82-4C00-B1B4-24F9410C910D}"/>
    <cellStyle name="Akcent 3 5" xfId="1642" xr:uid="{344A6963-028A-4562-9F47-F04E8DCAE4CF}"/>
    <cellStyle name="Akcent 3 5 2" xfId="1643" xr:uid="{A929A4BE-3E9C-40A8-9592-14B1111CC77A}"/>
    <cellStyle name="Akcent 3 6" xfId="1644" xr:uid="{B981EC42-D5D3-422B-B173-4D7585798E36}"/>
    <cellStyle name="Akcent 3 7" xfId="1645" xr:uid="{3EB38EF4-960D-4927-A2B2-0BFF77731B58}"/>
    <cellStyle name="Akcent 4 2" xfId="1646" xr:uid="{A289C01E-0AA6-47A0-9403-5115A8AB6FA7}"/>
    <cellStyle name="Akcent 4 2 2" xfId="1647" xr:uid="{C27AE12C-1A7D-48CD-AA3A-CC702594DB8E}"/>
    <cellStyle name="Akcent 4 2 3" xfId="1648" xr:uid="{EA9FE15A-78C4-4463-B518-2A8D7F1B20FE}"/>
    <cellStyle name="Akcent 4 2 4" xfId="1649" xr:uid="{13980181-F545-41E0-B332-9BEC5B620846}"/>
    <cellStyle name="Akcent 4 3" xfId="1650" xr:uid="{BFF0D51E-8FEC-455F-ADA4-2C883A0F79CC}"/>
    <cellStyle name="Akcent 4 4" xfId="1651" xr:uid="{F8234B3F-3C15-4834-AEDD-1AA62AF0FDF2}"/>
    <cellStyle name="Akcent 4 4 2" xfId="1652" xr:uid="{A5DC84E4-306D-4F64-AE77-36FBFD59F958}"/>
    <cellStyle name="Akcent 4 5" xfId="1653" xr:uid="{3FDA1D24-5753-47FC-A6EB-4302275E4A50}"/>
    <cellStyle name="Akcent 5 2" xfId="1654" xr:uid="{6B1B281E-66FC-4208-AF8F-C826C9828251}"/>
    <cellStyle name="Akcent 5 2 2" xfId="1655" xr:uid="{2FEA6D4B-9846-4DEE-B002-305503522A11}"/>
    <cellStyle name="Akcent 5 2 3" xfId="1656" xr:uid="{A8EE9717-B5F9-4C3A-A9E5-046630882D14}"/>
    <cellStyle name="Akcent 5 2 4" xfId="1657" xr:uid="{4D682C5C-075E-4655-AF4C-EE512E4763A0}"/>
    <cellStyle name="Akcent 5 3" xfId="1658" xr:uid="{8B6F8B82-BB62-4AB5-9203-8620D24D3452}"/>
    <cellStyle name="Akcent 5 4" xfId="1659" xr:uid="{C6B9FC60-C0E9-4C21-9536-E95C07B5043A}"/>
    <cellStyle name="Akcent 5 5" xfId="1660" xr:uid="{1F4707BA-3DCB-4629-83EB-6B4F940E1C2E}"/>
    <cellStyle name="Akcent 6 2" xfId="1661" xr:uid="{2D3BDE4B-1122-45CC-AE9F-B7BC3E038041}"/>
    <cellStyle name="Akcent 6 2 2" xfId="1662" xr:uid="{8902F713-7E63-4C0E-9FE7-C7CC4341C89D}"/>
    <cellStyle name="Akcent 6 2 3" xfId="1663" xr:uid="{44AEB1C7-7751-4840-B1E9-79C7BBD6C886}"/>
    <cellStyle name="Akcent 6 2 4" xfId="1664" xr:uid="{C71683AB-DE65-44AF-8338-D03225CE8532}"/>
    <cellStyle name="Akcent 6 3" xfId="1665" xr:uid="{67EDDE7C-9DC9-46BD-BB92-21989BD5D8D7}"/>
    <cellStyle name="Akcent 6 4" xfId="1666" xr:uid="{BF41A596-5D37-4246-9536-5959F2A61989}"/>
    <cellStyle name="Akcent 6 5" xfId="1667" xr:uid="{3D8D8228-B3C7-4FF3-96BC-EAB1CE681842}"/>
    <cellStyle name="Akzent1" xfId="1668" xr:uid="{161528A6-DC85-4F51-96DC-3270607C76D7}"/>
    <cellStyle name="Akzent2" xfId="1669" xr:uid="{AA58AA61-466A-4AE1-B4ED-C78136ECECD5}"/>
    <cellStyle name="Akzent3" xfId="1670" xr:uid="{82808084-6520-42EC-B42A-5BB3B05B2608}"/>
    <cellStyle name="Akzent4" xfId="1671" xr:uid="{E6190393-E29A-4FEA-9DDE-42DFCFB4DE26}"/>
    <cellStyle name="Akzent5" xfId="1672" xr:uid="{7A3A0596-B234-4F5D-AB43-AEC3CC15DD12}"/>
    <cellStyle name="Akzent6" xfId="1673" xr:uid="{AE7EDC91-394A-4AE5-9D1C-CDB50EB5270F}"/>
    <cellStyle name="Ausgabe" xfId="1674" xr:uid="{110D5778-49F5-4129-B8BE-093245A80DD8}"/>
    <cellStyle name="Ausgabe 2" xfId="1675" xr:uid="{F5222D9B-EA77-4CFF-8BD1-EDC3C3A9368D}"/>
    <cellStyle name="Bad" xfId="1676" xr:uid="{C9200967-9928-465A-82AC-40A8332DB817}"/>
    <cellStyle name="Bad 1" xfId="1677" xr:uid="{B5DA17AD-E08B-474E-BC84-3C038F445163}"/>
    <cellStyle name="Bad 10" xfId="1678" xr:uid="{0A707E09-9239-4BDB-A371-8CE46E5668A0}"/>
    <cellStyle name="Bad 2" xfId="1679" xr:uid="{3C1646F1-5880-4BB0-8124-FD7BB951BE17}"/>
    <cellStyle name="Bad_50_ceny" xfId="1680" xr:uid="{D87D8717-0F9A-4922-9E03-8BB7FBF97589}"/>
    <cellStyle name="Berechnung" xfId="1681" xr:uid="{BEACB3D7-CB21-499C-8090-04D9238F9E65}"/>
    <cellStyle name="Berechnung 2" xfId="1682" xr:uid="{FBF972D2-6072-4134-A964-458BF79C18CE}"/>
    <cellStyle name="Calculation" xfId="1683" xr:uid="{8AEF4C92-FFC0-4F80-9BF9-81245C438D57}"/>
    <cellStyle name="Calculation 2" xfId="1684" xr:uid="{FA717918-D1D7-4C53-A861-47B580FD3FFB}"/>
    <cellStyle name="Calculation_Additional price" xfId="1685" xr:uid="{3596C4E0-4F24-48C2-83A9-3107F4D017D6}"/>
    <cellStyle name="Check Cell" xfId="1686" xr:uid="{1D648748-C736-48BF-9526-7D9367BC8190}"/>
    <cellStyle name="Check Cell 2" xfId="1687" xr:uid="{3E539CD3-5EB4-404D-A23E-46BA09EB3E61}"/>
    <cellStyle name="Check Cell_Additional price" xfId="1688" xr:uid="{63324630-F449-4809-A7D2-DCE9EBD67658}"/>
    <cellStyle name="Dane wej?ciowe" xfId="1689" xr:uid="{796C1409-5C26-4860-BA22-35CFA0B8AFD2}"/>
    <cellStyle name="Dane wej?ciowe 2" xfId="1690" xr:uid="{997BB1F9-AE69-475D-9214-D3F07E2DA78F}"/>
    <cellStyle name="Dane wejściowe 2" xfId="1691" xr:uid="{97CEAF31-2FAD-458E-8144-9EB081E2DA38}"/>
    <cellStyle name="Dane wejściowe 2 2" xfId="1692" xr:uid="{12492101-6337-4D14-A207-A131E909650F}"/>
    <cellStyle name="Dane wejściowe 2 3" xfId="1693" xr:uid="{0C55BCD1-3056-4BD2-87F4-6977C13C4193}"/>
    <cellStyle name="Dane wejściowe 2 4" xfId="1694" xr:uid="{7E76189E-5E86-40FA-8425-2A8321124673}"/>
    <cellStyle name="Dane wejściowe 3" xfId="1695" xr:uid="{B456E21B-7E6F-49D6-B02F-FDF2F180ABEA}"/>
    <cellStyle name="Dane wejściowe 4" xfId="1696" xr:uid="{29BE618B-0D11-42A3-9B37-0233674CBB26}"/>
    <cellStyle name="Dane wejściowe 5" xfId="1697" xr:uid="{E7936E65-8759-48F7-86D4-3DD3D390A899}"/>
    <cellStyle name="Dane wejściowe 6" xfId="1698" xr:uid="{73BFFFDC-8205-475F-B6EC-C88EE357D8A1}"/>
    <cellStyle name="Dane wyj?ciowe" xfId="1699" xr:uid="{A5664D3F-0A90-4DC3-8F66-A12852E082CD}"/>
    <cellStyle name="Dane wyj?ciowe 2" xfId="1700" xr:uid="{00700490-83B8-4645-AFD6-AF53DD6D3D27}"/>
    <cellStyle name="Dane wyjściowe 2" xfId="1701" xr:uid="{1F951781-6FDE-43F6-9730-76023C339ECC}"/>
    <cellStyle name="Dane wyjściowe 2 2" xfId="1702" xr:uid="{1CEBDDA8-4F40-4DE9-BB55-F4585104EC40}"/>
    <cellStyle name="Dane wyjściowe 2 3" xfId="1703" xr:uid="{EEDE1AE7-A516-48DD-868C-9732480760B1}"/>
    <cellStyle name="Dane wyjściowe 2 4" xfId="1704" xr:uid="{E2655737-8EAC-4E70-A8D3-14C9E9BFA742}"/>
    <cellStyle name="Dane wyjściowe 3" xfId="1705" xr:uid="{58EDBA65-9BF5-48DD-9197-5614AC54A384}"/>
    <cellStyle name="Dane wyjściowe 4" xfId="1706" xr:uid="{FFF568B5-504B-44AB-BD40-645199CBD1D3}"/>
    <cellStyle name="Dane wyjściowe 5" xfId="1707" xr:uid="{9432BF00-3491-4E6C-A03E-6962FD567F7B}"/>
    <cellStyle name="Dobre" xfId="1708" xr:uid="{44F1A500-C97E-40FF-A0EA-C78BF0243E8F}"/>
    <cellStyle name="Dobre 2" xfId="1709" xr:uid="{61CFF6B9-F5C3-4333-A0D8-EF7C64AFC327}"/>
    <cellStyle name="Dobre 3" xfId="1710" xr:uid="{63B2E812-68FF-41C9-91CC-ABE04A70AC24}"/>
    <cellStyle name="Dobre 4" xfId="1711" xr:uid="{1E39D39D-01D5-4B6C-9DD9-A7F9830D7796}"/>
    <cellStyle name="Dobre 5" xfId="1712" xr:uid="{392EA8DC-C613-434B-8004-896C4661DD9D}"/>
    <cellStyle name="Dobre_03ceny39" xfId="2476" xr:uid="{19B3C497-BD7A-447C-BFFD-B6212D3387F8}"/>
    <cellStyle name="Dobry" xfId="1713" xr:uid="{B3A2DBB7-1F29-4169-9650-0E2B7639F08B}"/>
    <cellStyle name="Dobry 2" xfId="1714" xr:uid="{F1F9E69B-B005-4711-B528-FCF6DA1C590A}"/>
    <cellStyle name="Dobry 3" xfId="1715" xr:uid="{A2C83B4A-0F8A-4F32-BDAE-EEC4016D32CF}"/>
    <cellStyle name="Dobry 4" xfId="1716" xr:uid="{BC8C13E8-92B3-4C79-BD1D-D1E2D09E747A}"/>
    <cellStyle name="Dobry_IMPORT" xfId="3337" xr:uid="{8031057D-3D74-45CA-BA29-6BA1204C3BCD}"/>
    <cellStyle name="Dziesiętny 2" xfId="1717" xr:uid="{FC7EFF7D-5FC4-4C21-BF16-AF22B05A7281}"/>
    <cellStyle name="Dziesiętny 2 2" xfId="1718" xr:uid="{590F3ABC-0B38-41BF-A183-231DF613D8D4}"/>
    <cellStyle name="Dziesiętny 2 2 2" xfId="1719" xr:uid="{F3332A3C-D387-48BC-975C-717216658F4E}"/>
    <cellStyle name="Dziesiętny 2 2 2 2" xfId="1720" xr:uid="{285AE8F8-C1F6-4ADB-8D7E-C6237F53A511}"/>
    <cellStyle name="Dziesiętny 2 2 2 2 2" xfId="1721" xr:uid="{0B455B38-18DA-4956-8984-743492B17D00}"/>
    <cellStyle name="Dziesiętny 2 2 2 2 2 2" xfId="2570" xr:uid="{B2C82317-6412-4780-B093-56CA78ED608F}"/>
    <cellStyle name="Dziesiętny 2 2 2 2 3" xfId="2497" xr:uid="{CBA503B3-C5C9-4D2F-AD6E-8364C589594B}"/>
    <cellStyle name="Dziesiętny 2 2 2 3" xfId="2416" xr:uid="{41D406A7-D3C2-4E7B-809B-ADEE2105C8BE}"/>
    <cellStyle name="Dziesiętny 2 2 3" xfId="1722" xr:uid="{B14D8B0F-7B96-42B7-9A21-8AA4587C24A9}"/>
    <cellStyle name="Dziesiętny 2 2 3 2" xfId="1723" xr:uid="{A5496D18-B9B7-47BC-9D48-2B4200B90815}"/>
    <cellStyle name="Dziesiętny 2 2 3 2 2" xfId="2558" xr:uid="{C4640F4A-B83F-4AF2-B8BB-B42B9CA74BC8}"/>
    <cellStyle name="Dziesiętny 2 2 3 3" xfId="2477" xr:uid="{6AC241E5-F091-42CF-B5AD-9A4D3D4E51AD}"/>
    <cellStyle name="Dziesiętny 2 2 4" xfId="1724" xr:uid="{399652CC-6828-44E5-9491-4F515E5E11D4}"/>
    <cellStyle name="Dziesiętny 2 2 4 2" xfId="2459" xr:uid="{EB704173-F7C1-4D1D-8CFB-E9167EED4997}"/>
    <cellStyle name="Dziesiętny 2 2 5" xfId="2325" xr:uid="{087209CB-DDF6-4E16-B89A-305A6D5279ED}"/>
    <cellStyle name="Dziesiętny 2 2_IMPORT" xfId="1725" xr:uid="{8FF0397B-E8EE-426F-B16E-2867EA7CEFD3}"/>
    <cellStyle name="Dziesiętny 2 3" xfId="1726" xr:uid="{D1096EBD-F316-4996-8B1C-3051272D66BE}"/>
    <cellStyle name="Dziesiętny 2 3 2" xfId="1727" xr:uid="{858F810C-6090-4D2C-B18D-8F9A269877F4}"/>
    <cellStyle name="Dziesiętny 2 3 2 2" xfId="1728" xr:uid="{4141E132-641B-48F0-9624-6802BDA0D847}"/>
    <cellStyle name="Dziesiętny 2 3 2 2 2" xfId="2561" xr:uid="{A0873108-D780-41D5-BD4C-4673F6189367}"/>
    <cellStyle name="Dziesiętny 2 3 2 3" xfId="2482" xr:uid="{966501B2-3CB6-4C94-A8D0-6C8672478373}"/>
    <cellStyle name="Dziesiętny 2 3 3" xfId="2386" xr:uid="{4CE0D83C-AE9F-4D84-8F1C-ED8BE6068A5A}"/>
    <cellStyle name="Dziesiętny 2 4" xfId="1729" xr:uid="{621BAE70-6D27-43DE-B8AA-27467A3AC6F0}"/>
    <cellStyle name="Dziesiętny 2 4 2" xfId="1730" xr:uid="{C7101215-BE9F-4076-9496-79C791A3326A}"/>
    <cellStyle name="Dziesiętny 2 4 2 2" xfId="2557" xr:uid="{30A02907-DB06-4A3D-975E-42FB2C0B434D}"/>
    <cellStyle name="Dziesiętny 2 4 3" xfId="1731" xr:uid="{B5AB980C-E6F5-45B2-ABAB-C5876C7545E0}"/>
    <cellStyle name="Dziesiętny 2 4 4" xfId="2466" xr:uid="{448C1B3D-74BA-49A7-946B-678A646688C5}"/>
    <cellStyle name="Dziesiętny 2 5" xfId="1732" xr:uid="{DCF9EF11-BF4B-491F-95C5-0C4442C67133}"/>
    <cellStyle name="Dziesiętny 2 5 2" xfId="2458" xr:uid="{6ED11224-BA8A-4D3D-A369-0A60080FF11A}"/>
    <cellStyle name="Dziesiętny 2 6" xfId="1733" xr:uid="{57408D69-D73E-47E2-BC68-67E69A9FFA26}"/>
    <cellStyle name="Dziesiętny 2 6 2" xfId="2533" xr:uid="{87B13163-F07D-48ED-B306-9062D505F0B4}"/>
    <cellStyle name="Dziesiętny 2 7" xfId="1734" xr:uid="{9B5AE142-D543-4CEC-824B-93B4AFD51428}"/>
    <cellStyle name="Dziesiętny 2 7 2" xfId="2511" xr:uid="{CC7C80DC-BD94-4F74-AD92-EF3A36C96A1F}"/>
    <cellStyle name="Dziesiętny 2 8" xfId="1735" xr:uid="{A2E1D379-81CC-4BAE-9317-6A93E7006D5B}"/>
    <cellStyle name="Dziesiętny 2 9" xfId="2324" xr:uid="{2C70CE88-F33D-41B7-B679-54A029C9D128}"/>
    <cellStyle name="Dziesiętny 2_DOPLATA" xfId="1736" xr:uid="{47F31F1F-3923-4B05-A609-53264D897EB2}"/>
    <cellStyle name="Eingabe" xfId="1737" xr:uid="{FFAFC205-852F-4EB2-8E94-1F418927CEF2}"/>
    <cellStyle name="Eingabe 2" xfId="1738" xr:uid="{27C8C2D8-9821-4D30-8BD5-C00E6D9B0049}"/>
    <cellStyle name="Emphasis 1" xfId="1739" xr:uid="{0B640296-E377-46A1-82A5-931457A946C4}"/>
    <cellStyle name="Emphasis 1 2" xfId="1740" xr:uid="{105EC702-50A4-4B9F-AC81-EDE79145EE38}"/>
    <cellStyle name="Emphasis 1_Additional price" xfId="1741" xr:uid="{88055655-8DB5-4F1B-B912-36D7408A7838}"/>
    <cellStyle name="Emphasis 2" xfId="1742" xr:uid="{4BD873EC-812B-4E06-9C7F-E3EE1C4C7E07}"/>
    <cellStyle name="Emphasis 2 2" xfId="1743" xr:uid="{BB3C9002-2F3F-4A1C-A614-AC927954C2D6}"/>
    <cellStyle name="Emphasis 2_Additional price" xfId="1744" xr:uid="{E9395544-7306-4CBA-80ED-ED50DCC93E79}"/>
    <cellStyle name="Emphasis 3" xfId="1745" xr:uid="{87FA8C7B-7BF8-453A-A970-9BE854F519B7}"/>
    <cellStyle name="Emphasis 3 2" xfId="1746" xr:uid="{6BE997C1-0DD0-42B5-B342-5F3CE34EAECD}"/>
    <cellStyle name="Emphasis 3_Additional price" xfId="1747" xr:uid="{0EA53AE2-FCE7-478A-BA34-488764331821}"/>
    <cellStyle name="Ergebnis" xfId="1748" xr:uid="{5316942C-7B0E-4DD7-AA9E-7493446A086B}"/>
    <cellStyle name="Ergebnis 2" xfId="1749" xr:uid="{4B97B9DD-0A2C-41F0-9552-D19544E8FFD5}"/>
    <cellStyle name="Ergebnis 3" xfId="2326" xr:uid="{708775EE-BD2D-46A5-B310-5AC0D2BC1F05}"/>
    <cellStyle name="Ergebnis_IMPORT" xfId="1750" xr:uid="{620176CD-2E7F-4C3F-9C51-1B7A403BF5F3}"/>
    <cellStyle name="Erklärender Text" xfId="1751" xr:uid="{ADF6AC9D-D401-413A-AECC-829CBA1D438E}"/>
    <cellStyle name="Error" xfId="1752" xr:uid="{53FF1382-5AD2-4A4F-B030-4F6D378AEBCF}"/>
    <cellStyle name="Error 12" xfId="1753" xr:uid="{DCE17345-D75D-4A5E-A5D8-C430BC011F43}"/>
    <cellStyle name="Error_slownik" xfId="1754" xr:uid="{79E89143-F3DB-467F-A5E8-822A7EA42DAD}"/>
    <cellStyle name="Euro" xfId="1755" xr:uid="{C679B7B3-6B3D-436A-98A8-18B4A2BFDB64}"/>
    <cellStyle name="Euro 2" xfId="1756" xr:uid="{67794D46-E7E6-4DFC-9590-4C26CB1247C7}"/>
    <cellStyle name="Excel Built-in Excel Built-in Excel Built-in Excel Built-in Normalny 4" xfId="1757" xr:uid="{1ADF7A4A-D011-49B2-A5AA-0C35A09528B4}"/>
    <cellStyle name="Excel Built-in Excel Built-in Excel Built-in Excel Built-in Normalny 4 2" xfId="2327" xr:uid="{FA74BC38-B271-4727-B25F-D2D7EEB43AEB}"/>
    <cellStyle name="Excel Built-in Excel Built-in Excel Built-in Excel Built-in Normalny 4_IMPORT" xfId="3494" xr:uid="{F7C43BFB-D1C7-4FDC-ADAE-9DF9446DD268}"/>
    <cellStyle name="Excel Built-in Normal" xfId="1758" xr:uid="{850EC9BD-4340-4E7B-8A0D-AE104263CA18}"/>
    <cellStyle name="Excel Built-in Normal 1" xfId="1759" xr:uid="{49A22524-4BC5-4139-8BEF-657945C95C2E}"/>
    <cellStyle name="Excel Built-in Normal 2" xfId="1760" xr:uid="{5F6F2E5B-E6FE-41F7-8466-0218E0AB46B2}"/>
    <cellStyle name="Excel Built-in Normal 3" xfId="1761" xr:uid="{73EC7C42-CFA3-41B9-9C7F-47D05D3C8588}"/>
    <cellStyle name="Excel Built-in Normal 4" xfId="1762" xr:uid="{94B2F822-A24D-4FF7-9E95-B5B32D7385BA}"/>
    <cellStyle name="Excel Built-in Normal 5" xfId="2328" xr:uid="{9F86AC61-D87C-4143-A5D1-1F9CF5933992}"/>
    <cellStyle name="Excel Built-in Normal_Arkusz1" xfId="1763" xr:uid="{47685E40-99CC-444F-88D1-4CC58BC5D292}"/>
    <cellStyle name="Explanatory Text" xfId="1764" xr:uid="{D719ACDE-A98A-432A-BCB8-607E0DE73F0B}"/>
    <cellStyle name="Explanatory Text 2" xfId="1765" xr:uid="{DD29AEF7-65F9-495B-B374-06A383AA40A6}"/>
    <cellStyle name="Footnote" xfId="1766" xr:uid="{5758C1E9-900C-4D68-98FA-472F353E6823}"/>
    <cellStyle name="Footnote 5" xfId="1767" xr:uid="{CF41AF17-1415-4154-A240-BE1ACDDD4192}"/>
    <cellStyle name="Footnote_slownik" xfId="1768" xr:uid="{43B894CD-C607-4A65-BAA0-92F6444765C4}"/>
    <cellStyle name="Good" xfId="1769" xr:uid="{598A015C-D850-400D-A0CD-10BD36E680D8}"/>
    <cellStyle name="Good 1" xfId="1770" xr:uid="{99AEA8AB-B384-4F09-AE48-7381CC1F5810}"/>
    <cellStyle name="Good 2" xfId="1771" xr:uid="{78413BA6-31C2-4A15-8ADA-7B478AFB4C90}"/>
    <cellStyle name="Good 8" xfId="1772" xr:uid="{DA476E19-DB06-435A-909C-C41A171EDC84}"/>
    <cellStyle name="Good_50_ceny" xfId="1773" xr:uid="{2FA451B0-347B-4700-BCA1-6658744C83AE}"/>
    <cellStyle name="Gut" xfId="1774" xr:uid="{067703F4-D0A1-4C1C-B165-FC8E0C037383}"/>
    <cellStyle name="Heading" xfId="1775" xr:uid="{98D97AEC-46AC-4855-8B54-2D2F00D1793E}"/>
    <cellStyle name="Heading 1" xfId="1776" xr:uid="{A76A2229-C18B-4EB8-BD4F-7DF0426190EA}"/>
    <cellStyle name="Heading 1 1" xfId="1777" xr:uid="{26D5BE3C-FEDA-4EBF-B347-CFDE7233C71B}"/>
    <cellStyle name="Heading 1 2" xfId="1778" xr:uid="{BB6C0F6D-FE98-431E-BEA8-0EBCCB50C349}"/>
    <cellStyle name="Heading 1_50_ceny" xfId="1779" xr:uid="{2896D0E9-A9EF-4B00-BC23-12EE431F733C}"/>
    <cellStyle name="Heading 2" xfId="1780" xr:uid="{F29EE086-C1FF-4407-86A9-AEB291397BE8}"/>
    <cellStyle name="Heading 2 1" xfId="1781" xr:uid="{17BB0F55-EEE4-4988-B582-68D7C27E11DE}"/>
    <cellStyle name="Heading 2 2" xfId="1782" xr:uid="{DF65C27B-1E2C-476C-BB98-556C86DAD039}"/>
    <cellStyle name="Heading 2_50_ceny" xfId="1783" xr:uid="{F6CA72DC-963B-4C4D-9551-3D27F84994AA}"/>
    <cellStyle name="Heading 3" xfId="1784" xr:uid="{A1C32370-B730-46DA-A5E8-AE0CA14285DB}"/>
    <cellStyle name="Heading 3 2" xfId="1785" xr:uid="{835A9BD3-0901-45B5-A669-FA4FFBC249F1}"/>
    <cellStyle name="Heading 3_Additional price" xfId="1786" xr:uid="{DBD4499E-43CF-41B0-80F8-C6102B33B81B}"/>
    <cellStyle name="Heading 4" xfId="1787" xr:uid="{07FDD842-5213-4616-9843-6CEAFFB8FFF1}"/>
    <cellStyle name="Heading 4 2" xfId="1788" xr:uid="{9B0B7BE6-1867-485E-81F0-237043559FF9}"/>
    <cellStyle name="Heading 4_Additional price" xfId="1789" xr:uid="{3CD33DF3-B8E6-4196-9A95-683D5831BC67}"/>
    <cellStyle name="Heading_dodatki" xfId="1790" xr:uid="{EEFA30BC-8BCC-4CA7-9472-9142AABDB48E}"/>
    <cellStyle name="Heading1" xfId="1791" xr:uid="{B586993F-6C46-4BF2-97BE-544BDADB279F}"/>
    <cellStyle name="Hiperłącze" xfId="3495" builtinId="8"/>
    <cellStyle name="Hyperlink 6" xfId="1792" xr:uid="{2CB4FED7-0596-4F21-A0DC-30B9A7027FFD}"/>
    <cellStyle name="Input" xfId="1793" xr:uid="{C3FEC0FA-D40A-487F-BC3E-D895606DD2EE}"/>
    <cellStyle name="Input 2" xfId="1794" xr:uid="{EC6BAEF7-43FC-4527-A86A-180FEA30444F}"/>
    <cellStyle name="Input 2 2" xfId="1795" xr:uid="{772D9706-0302-4338-99D4-78BA26A139B1}"/>
    <cellStyle name="Input 2_IMPORT" xfId="1796" xr:uid="{EB057D00-47DB-4374-97BE-D2D82A53F7C6}"/>
    <cellStyle name="Input 3" xfId="1797" xr:uid="{3325A49F-1476-4615-961E-797A3C647492}"/>
    <cellStyle name="Input 3 2" xfId="1798" xr:uid="{1234705F-B3B8-4435-8E6F-7089CE39B150}"/>
    <cellStyle name="Input 4" xfId="1799" xr:uid="{94B02440-7D7F-4DB4-AB8C-63A5001D5397}"/>
    <cellStyle name="Input_50_ceny" xfId="1800" xr:uid="{129E7D46-504D-4877-B8CC-042CC52264F8}"/>
    <cellStyle name="Invoer" xfId="1801" xr:uid="{85AC5C11-2E5B-417D-B7A8-3ED2B146A928}"/>
    <cellStyle name="Invoer 2" xfId="1802" xr:uid="{1CA81F15-ECB4-4C41-A717-F5ADF2993453}"/>
    <cellStyle name="Komórka po??czona" xfId="1803" xr:uid="{D5ABC8C4-2290-4F0C-84ED-F498B4B1C2FA}"/>
    <cellStyle name="Komórka połączona 2" xfId="1804" xr:uid="{A1C61AF9-4388-4CE1-95D6-25EA5A4C16B9}"/>
    <cellStyle name="Komórka połączona 2 2" xfId="1805" xr:uid="{924E631E-B1C3-4AE3-8B14-891728EE216C}"/>
    <cellStyle name="Komórka połączona 2 3" xfId="1806" xr:uid="{93A2BF3C-C749-4E81-B1C1-081DDC45C73D}"/>
    <cellStyle name="Komórka połączona 2 4" xfId="1807" xr:uid="{D45EEA61-A8C6-4AE1-83AC-0367A76A7935}"/>
    <cellStyle name="Komórka połączona 3" xfId="1808" xr:uid="{36FEA871-CBA7-458C-9C13-41BCEE55F0C1}"/>
    <cellStyle name="Komórka połączona 4" xfId="1809" xr:uid="{3E207211-B29C-4F42-A9A1-F7360849ED7E}"/>
    <cellStyle name="Komórka połączona 5" xfId="1810" xr:uid="{64D20FC0-3506-4C1A-A56E-1CC451AE32EE}"/>
    <cellStyle name="Komórka zaznaczona 2" xfId="1811" xr:uid="{916663D5-3933-428D-BCAE-CD7A4E2F91AA}"/>
    <cellStyle name="Komórka zaznaczona 2 2" xfId="1812" xr:uid="{E4077701-FD11-496B-8DEC-5511375EA346}"/>
    <cellStyle name="Komórka zaznaczona 2 3" xfId="1813" xr:uid="{23EF3081-F34F-48D9-8B9D-A5508B49B1A0}"/>
    <cellStyle name="Komórka zaznaczona 2 4" xfId="1814" xr:uid="{965D603C-8723-4867-B6B8-4B95A277E945}"/>
    <cellStyle name="Komórka zaznaczona 3" xfId="1815" xr:uid="{AB251D6F-3D67-464F-A8C4-369336B87BDE}"/>
    <cellStyle name="Komórka zaznaczona 4" xfId="1816" xr:uid="{F7ADD9F5-4B1B-4604-B4AD-9B03D8C70E42}"/>
    <cellStyle name="Komórka zaznaczona 5" xfId="1817" xr:uid="{362645AC-2166-4676-9CEE-FC781D6DF311}"/>
    <cellStyle name="Linked Cell" xfId="1818" xr:uid="{14098087-B811-4A21-84E4-17A6A6562D9B}"/>
    <cellStyle name="Linked Cell 2" xfId="1819" xr:uid="{BD3F42BB-39B0-4C9C-AD26-59FFB5DE8C67}"/>
    <cellStyle name="Linked Cell_Additional price" xfId="1820" xr:uid="{7636BE86-F30E-4E47-94DF-8AF7ACC2C276}"/>
    <cellStyle name="Nag?ówek 1" xfId="1821" xr:uid="{0FD593F9-3A45-4231-B530-C1EA3512E319}"/>
    <cellStyle name="Nag?ówek 2" xfId="1822" xr:uid="{D6E3FA1E-4F20-4CA8-89CD-0B07BEC2B19D}"/>
    <cellStyle name="Nag?ówek 3" xfId="1823" xr:uid="{8712DD3A-8C3B-4A67-82AE-6E9C87FD4996}"/>
    <cellStyle name="Nag?ówek 3 2" xfId="1824" xr:uid="{DB719A05-6C78-401D-AD34-00CA66ECB86F}"/>
    <cellStyle name="Nag?ówek 4" xfId="1825" xr:uid="{34FE9DD3-9AAD-4693-BE56-7B09390BD06B}"/>
    <cellStyle name="Nagłówek 1 1" xfId="1826" xr:uid="{BDAE8356-72C1-4162-900B-1DC5A457687C}"/>
    <cellStyle name="Nagłówek 1 2" xfId="1827" xr:uid="{C2FFD7B6-2067-43B2-9415-EA71AEB8C842}"/>
    <cellStyle name="Nagłówek 1 2 2" xfId="1828" xr:uid="{816259FE-A550-4E84-AD4D-012E5F6DA306}"/>
    <cellStyle name="Nagłówek 1 2 3" xfId="1829" xr:uid="{30072750-7C28-4216-BD04-8FE4898A21B8}"/>
    <cellStyle name="Nagłówek 1 2 4" xfId="1830" xr:uid="{E2016E33-E25B-4A41-B25E-107E5B5313C3}"/>
    <cellStyle name="Nagłówek 1 3" xfId="1831" xr:uid="{D0E166C1-7E31-4930-956E-8572CF7EBA2B}"/>
    <cellStyle name="Nagłówek 1 4" xfId="1832" xr:uid="{38C42386-9634-42B1-B858-909CF3861E04}"/>
    <cellStyle name="Nagłówek 1 4 2" xfId="1833" xr:uid="{501431A7-6DF4-4C73-A6B8-6E1ACF12CE17}"/>
    <cellStyle name="Nagłówek 1 5" xfId="1834" xr:uid="{C3D8D0B8-B54C-4BF0-AB8C-797C29A0EE79}"/>
    <cellStyle name="Nagłówek 2 1" xfId="1835" xr:uid="{CD6A6FDC-6837-402C-A100-AEA5AE60ABC3}"/>
    <cellStyle name="Nagłówek 2 2" xfId="1836" xr:uid="{0757AC9C-2C28-4E7E-80A9-C4D2652AEF96}"/>
    <cellStyle name="Nagłówek 2 2 2" xfId="1837" xr:uid="{FD7BEF29-F1F3-4211-A204-2D6B79D6F5F1}"/>
    <cellStyle name="Nagłówek 2 2 3" xfId="1838" xr:uid="{D511F12F-D915-4E90-99BE-FA6D9771D614}"/>
    <cellStyle name="Nagłówek 2 2 4" xfId="1839" xr:uid="{6961FF38-ED68-4FF5-9A24-A4B4BBEDF8E2}"/>
    <cellStyle name="Nagłówek 2 3" xfId="1840" xr:uid="{5791C7C8-5DC8-43E9-99C1-A6A7BBCB68B4}"/>
    <cellStyle name="Nagłówek 2 4" xfId="1841" xr:uid="{B29164DB-59A5-4872-98C9-0CEB00A53BDF}"/>
    <cellStyle name="Nagłówek 2 4 2" xfId="1842" xr:uid="{5C76E450-8426-4BD1-9AFB-2B30731BB546}"/>
    <cellStyle name="Nagłówek 2 5" xfId="1843" xr:uid="{ECEBC036-6E82-4449-8D4A-DE82D4E2296D}"/>
    <cellStyle name="Nagłówek 3 2" xfId="1844" xr:uid="{D1741164-F94C-4DFF-8D42-490961DE59E9}"/>
    <cellStyle name="Nagłówek 3 2 2" xfId="1845" xr:uid="{FF0FBACF-64CC-41EE-A115-3AFD197C59EF}"/>
    <cellStyle name="Nagłówek 3 2 3" xfId="1846" xr:uid="{9A5A19BA-17DA-45DE-9E23-CB31B57FAB20}"/>
    <cellStyle name="Nagłówek 3 2 4" xfId="1847" xr:uid="{B29C1C2B-F6B3-4626-A829-4D23E2EFB7BF}"/>
    <cellStyle name="Nagłówek 3 3" xfId="1848" xr:uid="{2E72CEDC-EDF2-4943-A2AF-A5FE3DF53B84}"/>
    <cellStyle name="Nagłówek 3 4" xfId="1849" xr:uid="{1DF488AD-4CF3-4212-99BE-EB8DA3DD8BDB}"/>
    <cellStyle name="Nagłówek 3 4 2" xfId="1850" xr:uid="{38FF28D6-19D0-4912-843D-2F3E7CCC490B}"/>
    <cellStyle name="Nagłówek 3 5" xfId="1851" xr:uid="{806C213D-AF71-40E1-8948-44DF07A147A2}"/>
    <cellStyle name="Nagłówek 4 2" xfId="1852" xr:uid="{AC427DCD-4DF6-41DB-BF4E-567E53F2AD11}"/>
    <cellStyle name="Nagłówek 4 2 2" xfId="1853" xr:uid="{0F6D4BCE-3F27-4B18-ABC8-E0995E5E92C1}"/>
    <cellStyle name="Nagłówek 4 2 3" xfId="1854" xr:uid="{BCEADC5F-C138-4188-9B59-8DB51CECFEF3}"/>
    <cellStyle name="Nagłówek 4 2 4" xfId="1855" xr:uid="{C367BD2B-FF2C-4A4C-87B3-C75824DD8B02}"/>
    <cellStyle name="Nagłówek 4 3" xfId="1856" xr:uid="{1030452C-86D0-48CE-A990-A596B376E427}"/>
    <cellStyle name="Nagłówek 4 4" xfId="1857" xr:uid="{387CDF71-8680-41AF-BCD3-D42CB2DD3C38}"/>
    <cellStyle name="Nagłówek 4 4 2" xfId="1858" xr:uid="{AB7E1F6A-C5EA-4C01-B9CE-238E64FB8DF6}"/>
    <cellStyle name="Nagłówek 4 5" xfId="1859" xr:uid="{5339BD37-C5E1-4901-B3DF-4D4487629E6A}"/>
    <cellStyle name="Neutral" xfId="1860" xr:uid="{66ED8143-66DD-47E7-883F-B78356222B35}"/>
    <cellStyle name="Neutral 1" xfId="1861" xr:uid="{B3D9B535-FAD9-4DE7-91B5-4F44DB33CC6C}"/>
    <cellStyle name="Neutral 1 2" xfId="1862" xr:uid="{5527CC24-C058-4CBC-BA2F-D4354593E36E}"/>
    <cellStyle name="Neutral 1 3" xfId="1863" xr:uid="{831CC365-CEE4-4C70-A866-0DBF84E6A109}"/>
    <cellStyle name="Neutral 2" xfId="1864" xr:uid="{3FDDBF5E-231C-4692-8D3C-C6858A2F5546}"/>
    <cellStyle name="Neutral 9" xfId="1865" xr:uid="{B02FD681-096D-485E-BA44-D33D96FACCFC}"/>
    <cellStyle name="Neutral_50_ceny" xfId="1866" xr:uid="{FD66633C-3B56-45F2-BFC7-38AAD7969245}"/>
    <cellStyle name="Neutralne" xfId="1867" xr:uid="{75AA3783-13C7-4EBA-9430-0B78B462FA71}"/>
    <cellStyle name="Neutralne 2" xfId="1868" xr:uid="{50A15BE5-B8AC-4BFD-8758-DF86B9BA1F24}"/>
    <cellStyle name="Neutralne 3" xfId="1869" xr:uid="{22503F9B-D26C-433C-A177-E8B0ADF53227}"/>
    <cellStyle name="Neutralne 4" xfId="1870" xr:uid="{46879711-D1FB-4425-9DF1-B0D4C2753A0C}"/>
    <cellStyle name="Neutralne 5" xfId="1871" xr:uid="{CED2D994-6F90-4E0B-8700-401BF5FEF886}"/>
    <cellStyle name="Neutralne_03ceny39" xfId="2478" xr:uid="{CACC7FB1-7A46-443B-BC5C-E3E4A797BBD4}"/>
    <cellStyle name="Neutralny" xfId="1872" xr:uid="{8789CB1D-A16A-42F4-9FA4-09F3016A6EDF}"/>
    <cellStyle name="Neutralny 2" xfId="1873" xr:uid="{63EA5B62-EFF1-4B72-80FC-F2DFB6D78318}"/>
    <cellStyle name="Neutralny 3" xfId="1874" xr:uid="{4CF86F2C-A8F7-433A-968B-B239E0F1650C}"/>
    <cellStyle name="Neutralny 4" xfId="1875" xr:uid="{F12AC650-BBC2-48D2-829F-9E4D3A510E59}"/>
    <cellStyle name="Neutralny_IMPORT" xfId="3338" xr:uid="{E8B50D29-E2CE-4E9E-B030-1E5E55E1690C}"/>
    <cellStyle name="Normal 2" xfId="1876" xr:uid="{817D7C34-A075-4833-BDE7-15D6A303234B}"/>
    <cellStyle name="Normal 2 2" xfId="1877" xr:uid="{2ABD023A-7EF9-4687-9869-1FA252A3968A}"/>
    <cellStyle name="Normal 2 3" xfId="1878" xr:uid="{3D813F22-A030-4606-801F-F1F73557A29F}"/>
    <cellStyle name="Normal 2 4" xfId="1879" xr:uid="{7A10943B-9BB2-4550-9747-F2AADA6C4FD3}"/>
    <cellStyle name="Normal 2 4 2" xfId="2463" xr:uid="{F1469CD3-B3F9-407E-AA80-15263997B1CC}"/>
    <cellStyle name="Normal 2 5" xfId="1880" xr:uid="{CCDCDDD2-A724-4280-8667-C690D3558F09}"/>
    <cellStyle name="Normal 2 6" xfId="2253" xr:uid="{40026EB4-EF21-450D-9702-3EED1234B1F8}"/>
    <cellStyle name="Normal 2_CENA" xfId="1881" xr:uid="{7DF8C0C4-5AFB-46B7-BF08-DDBA8B349AFF}"/>
    <cellStyle name="Normal 3" xfId="1882" xr:uid="{6A8CDF9D-D9A3-4358-AA4D-0C56371196D8}"/>
    <cellStyle name="Normal 4" xfId="1883" xr:uid="{EF55A773-2C8E-49E3-97AB-69385C5E166F}"/>
    <cellStyle name="Normal 4 2" xfId="1884" xr:uid="{ED0BE881-193D-47A7-B781-1C8EDB4A6458}"/>
    <cellStyle name="Normal 5" xfId="1885" xr:uid="{F19C972A-4EB0-4B36-8FBD-665F9753F664}"/>
    <cellStyle name="Normalny" xfId="0" builtinId="0"/>
    <cellStyle name="Normalny 10" xfId="1886" xr:uid="{5C9C0D69-9D6D-4BBE-9A48-8FEF513871EB}"/>
    <cellStyle name="Normalny 11" xfId="1887" xr:uid="{E5BB8E41-ABBA-439A-AC10-0402ED013622}"/>
    <cellStyle name="Normalny 12" xfId="1888" xr:uid="{A5274827-2DF7-463F-B642-7283574A10CC}"/>
    <cellStyle name="Normalny 12 2" xfId="2510" xr:uid="{153CEC5F-8626-48D3-9A0D-D333AEE87F1B}"/>
    <cellStyle name="Normalny 13" xfId="1889" xr:uid="{ED4D4AAE-EE91-407B-872B-3EAADE6CE3FA}"/>
    <cellStyle name="Normalny 13 2" xfId="3320" xr:uid="{4AFDB8B9-4128-4641-8392-566994D2DAB6}"/>
    <cellStyle name="Normalny 2" xfId="1890" xr:uid="{551C457F-8C64-4F41-ADF4-F5799F80F909}"/>
    <cellStyle name="Normalny 2 10" xfId="1891" xr:uid="{0BEA98D7-7CD5-487E-8517-D2DA9574ED81}"/>
    <cellStyle name="Normalny 2 10 2" xfId="1892" xr:uid="{EFD8F147-FA3C-43C7-B2E9-82A7A99D00DC}"/>
    <cellStyle name="Normalny 2 10 2 2" xfId="1893" xr:uid="{7BB1B325-5C69-43F7-A56A-10D67CCBA282}"/>
    <cellStyle name="Normalny 2 10 2 2 2" xfId="2568" xr:uid="{4DAD8245-4C36-4842-AAB5-F97ACBCF7C4A}"/>
    <cellStyle name="Normalny 2 10 2 3" xfId="2495" xr:uid="{9B6A8074-DE85-4D28-A958-5A8C41091A93}"/>
    <cellStyle name="Normalny 2 10 2_IMPORT" xfId="1894" xr:uid="{FEC5742F-943E-4D9A-95EC-1E5C53CA0F68}"/>
    <cellStyle name="Normalny 2 10 3" xfId="1895" xr:uid="{2F1EFDF9-FA5F-4A43-83A1-B2C66D22FFFC}"/>
    <cellStyle name="Normalny 2 10 3 2" xfId="2546" xr:uid="{83189E02-32A1-4DE6-84DE-BCA93C31DE7D}"/>
    <cellStyle name="Normalny 2 10 4" xfId="2414" xr:uid="{2D7F25ED-0ECF-4AEF-A301-A15497C93548}"/>
    <cellStyle name="Normalny 2 10_IMPORT" xfId="1896" xr:uid="{FE14FE92-8197-451A-8222-E58448DAC1A6}"/>
    <cellStyle name="Normalny 2 11" xfId="1897" xr:uid="{7AAC947A-C9CF-4916-953A-757239FE1F21}"/>
    <cellStyle name="Normalny 2 11 2" xfId="1898" xr:uid="{17EA02D2-30BB-43BD-B197-BF19174E2672}"/>
    <cellStyle name="Normalny 2 11 2 2" xfId="1899" xr:uid="{2C3E7B9D-B9DE-4AB4-8EA1-1F5BA69FF0BA}"/>
    <cellStyle name="Normalny 2 11 2 2 2" xfId="2559" xr:uid="{ADED851F-873F-4FAC-B09E-184FFF634FD1}"/>
    <cellStyle name="Normalny 2 11 2 3" xfId="2480" xr:uid="{CBCB8F20-F6A5-4F0F-A292-C6CD9BFB67FC}"/>
    <cellStyle name="Normalny 2 11 2_IMPORT" xfId="1900" xr:uid="{8E0B4EE0-8781-42BA-A540-49D0D391EFA3}"/>
    <cellStyle name="Normalny 2 11 3" xfId="1901" xr:uid="{A74E0E36-198A-4E0C-9ECB-A42846A9EB4F}"/>
    <cellStyle name="Normalny 2 11 3 2" xfId="2538" xr:uid="{A1F8F2D6-700E-49EE-BAE9-32FB588D9ECC}"/>
    <cellStyle name="Normalny 2 11 4" xfId="2335" xr:uid="{D9D337C7-DCF3-4BE5-AFB1-17A2F3BBA74E}"/>
    <cellStyle name="Normalny 2 11_IMPORT" xfId="1902" xr:uid="{6D903CF2-4C5D-44CB-BBC0-2CD63D89C83C}"/>
    <cellStyle name="Normalny 2 12" xfId="1903" xr:uid="{9C371F2B-AADF-4365-A1D6-DE0406905018}"/>
    <cellStyle name="Normalny 2 12 2" xfId="1904" xr:uid="{7D8B18A7-9575-4C2C-88FA-1D66D504ADFA}"/>
    <cellStyle name="Normalny 2 12 2 2" xfId="2555" xr:uid="{978C94D1-04A2-4005-A931-1B0779A07618}"/>
    <cellStyle name="Normalny 2 12 3" xfId="2461" xr:uid="{615DCBDE-4BA0-4FEF-9F8C-EFE34E768DFA}"/>
    <cellStyle name="Normalny 2 12_IMPORT" xfId="1905" xr:uid="{0DE907DB-8BA8-4801-9829-B66C5A80F5EB}"/>
    <cellStyle name="Normalny 2 13" xfId="1906" xr:uid="{0F920984-1786-4BBF-9BA6-F874C371E328}"/>
    <cellStyle name="Normalny 2 13 2" xfId="2460" xr:uid="{6C06958B-8113-49CB-8D9E-860B439312BD}"/>
    <cellStyle name="Normalny 2 14" xfId="1907" xr:uid="{8D6F5F91-CDCA-4651-86D2-125F1A465EA4}"/>
    <cellStyle name="Normalny 2 14 2" xfId="1908" xr:uid="{70D4C7A1-C29D-4943-BA37-C5268DFC38B1}"/>
    <cellStyle name="Normalny 2 14 2 2" xfId="2578" xr:uid="{22ACDA0F-9761-47B1-BBEA-1433A8F89481}"/>
    <cellStyle name="Normalny 2 14 3" xfId="2505" xr:uid="{B6B5A1D7-6BFE-4FA2-A436-34F3F0DF6C14}"/>
    <cellStyle name="Normalny 2 14_IMPORT" xfId="1909" xr:uid="{DBBAB199-989C-4F88-BE60-45439A74F78C}"/>
    <cellStyle name="Normalny 2 15" xfId="2250" xr:uid="{F5009AED-E5B0-4D99-8040-463C3E32D28B}"/>
    <cellStyle name="Normalny 2 2" xfId="1910" xr:uid="{5D32AC47-6EF3-4B96-9430-1317C1E4C5F6}"/>
    <cellStyle name="Normalny 2 2 2" xfId="1911" xr:uid="{A12CEFC9-2ECA-4DC0-BFB2-9691A027B532}"/>
    <cellStyle name="Normalny 2 2 3" xfId="1912" xr:uid="{B3ACA8EB-14C0-4FF1-A2EC-0FF230F043A6}"/>
    <cellStyle name="Normalny 2 2 4" xfId="1913" xr:uid="{75B88E9C-EA00-4818-A25D-146D04350A5C}"/>
    <cellStyle name="Normalny 2 2 5" xfId="1914" xr:uid="{86444396-AFB5-4494-B49D-55CF72BCD5DB}"/>
    <cellStyle name="Normalny 2 2_CENA" xfId="1915" xr:uid="{5AD1E672-E287-43D4-A425-4F9573816147}"/>
    <cellStyle name="Normalny 2 3" xfId="1916" xr:uid="{42BCB3CD-58A5-4126-B6CC-2183E364C026}"/>
    <cellStyle name="Normalny 2 3 2" xfId="1917" xr:uid="{F1E5BBCA-1D6B-4D90-9EE6-F14C89CEE5A1}"/>
    <cellStyle name="Normalny 2 3 3" xfId="1918" xr:uid="{2D7B2384-B731-47C5-8211-53E79A93D788}"/>
    <cellStyle name="Normalny 2 3 3 2" xfId="2513" xr:uid="{A8DC5F81-17A0-4112-800E-6B13F8DE2541}"/>
    <cellStyle name="Normalny 2 3 4" xfId="1919" xr:uid="{57CDE28E-9FED-49CD-8F1D-91DAF9F0BC37}"/>
    <cellStyle name="Normalny 2 3 5" xfId="2251" xr:uid="{65F77D9E-C93E-455B-BEE2-02F8081CE10F}"/>
    <cellStyle name="Normalny 2 4" xfId="1920" xr:uid="{0C6A93F3-E101-42B9-A703-C447B864D023}"/>
    <cellStyle name="Normalny 2 4 2" xfId="1921" xr:uid="{5846A7D1-AA56-4553-8ABC-2A45E149B85C}"/>
    <cellStyle name="Normalny 2 4 2 2" xfId="1922" xr:uid="{3AA1E5B1-F6CA-4582-A04C-A907526F5E77}"/>
    <cellStyle name="Normalny 2 4 2 2 2" xfId="1923" xr:uid="{0E2B122C-FCED-41F3-9EC2-06CD8BBFF66D}"/>
    <cellStyle name="Normalny 2 4 2 2 2 2" xfId="2573" xr:uid="{AE8C033B-4EEE-4903-980F-0B6864235821}"/>
    <cellStyle name="Normalny 2 4 2 2 3" xfId="2500" xr:uid="{6E9DAE1B-3A4C-4D30-905C-6DA29A9A2BDA}"/>
    <cellStyle name="Normalny 2 4 2 2_IMPORT" xfId="1924" xr:uid="{887AAC2B-38FC-4FD9-827B-E74D580FB844}"/>
    <cellStyle name="Normalny 2 4 2 3" xfId="1925" xr:uid="{9522D01C-B39A-4311-B0A8-55FDA504C7DF}"/>
    <cellStyle name="Normalny 2 4 2 3 2" xfId="2550" xr:uid="{BD4F5C37-4588-44A9-A07E-6E3CA7A26BEF}"/>
    <cellStyle name="Normalny 2 4 2 4" xfId="1926" xr:uid="{463240F5-B4B3-49BC-9FB8-22EA9654DFB4}"/>
    <cellStyle name="Normalny 2 4 2 5" xfId="2419" xr:uid="{2851383B-073A-4860-93EB-173FFB11641D}"/>
    <cellStyle name="Normalny 2 4 2_IMPORT" xfId="1927" xr:uid="{38C512BA-1A07-45C2-A1F3-66AABE024ACC}"/>
    <cellStyle name="Normalny 2 4 3" xfId="1928" xr:uid="{2C01F7F7-5795-4A63-B17C-F19E4CE35EB8}"/>
    <cellStyle name="Normalny 2 4 3 2" xfId="1929" xr:uid="{4CC4E762-7434-454D-AE54-0BEEAA9890EA}"/>
    <cellStyle name="Normalny 2 4 3 2 2" xfId="1930" xr:uid="{7B1C3AA3-D2FE-4D08-A68E-DC1BB858A832}"/>
    <cellStyle name="Normalny 2 4 3 2 2 2" xfId="2562" xr:uid="{C78B74A8-48C0-4B66-853C-90F9B0C7DBF3}"/>
    <cellStyle name="Normalny 2 4 3 2 3" xfId="2489" xr:uid="{0AAB4125-C6B5-475B-881D-AF66A941ADFB}"/>
    <cellStyle name="Normalny 2 4 3 2_IMPORT" xfId="1931" xr:uid="{C09093E2-9E88-41B1-9EFB-80468CB08153}"/>
    <cellStyle name="Normalny 2 4 3 3" xfId="1932" xr:uid="{24F26F2F-F74F-47EE-8336-C7720738D715}"/>
    <cellStyle name="Normalny 2 4 3 3 2" xfId="2540" xr:uid="{C5AD4610-469B-46BC-924B-3CFBCEE2769C}"/>
    <cellStyle name="Normalny 2 4 3 4" xfId="1933" xr:uid="{7D5FF316-6B37-4B56-AFB8-10646DB53910}"/>
    <cellStyle name="Normalny 2 4 3 5" xfId="2391" xr:uid="{AF8F179C-A032-44F6-AF5D-0E0376200B8E}"/>
    <cellStyle name="Normalny 2 4 4" xfId="1934" xr:uid="{982BE1DD-0416-4399-83C1-6C3B7DD08D6D}"/>
    <cellStyle name="Normalny 2 4 4 2" xfId="1935" xr:uid="{DB0780FF-06A4-4210-80AD-2EFD86D67EBE}"/>
    <cellStyle name="Normalny 2 4 4 2 2" xfId="2580" xr:uid="{AE140013-9A85-4FED-A203-4F2C80E3CF7A}"/>
    <cellStyle name="Normalny 2 4 4 3" xfId="1936" xr:uid="{92855CD0-1B29-4AC1-8A8F-F24D347D9973}"/>
    <cellStyle name="Normalny 2 4 4 4" xfId="2507" xr:uid="{0E1287AD-CB0F-432F-BB3B-0EC6944A8625}"/>
    <cellStyle name="Normalny 2 4 4_IMPORT" xfId="1937" xr:uid="{1F6F1376-04C4-4BC5-B6E1-B3696763F586}"/>
    <cellStyle name="Normalny 2 4 5" xfId="2329" xr:uid="{7BA568EB-705C-4E49-B5EA-7C3721E7B694}"/>
    <cellStyle name="Normalny 2 4_IMPORT" xfId="1938" xr:uid="{527064BA-2843-4379-A6E5-7252F821A8DB}"/>
    <cellStyle name="Normalny 2 5" xfId="1939" xr:uid="{F145E530-04BB-45DA-8921-7F5885533C60}"/>
    <cellStyle name="Normalny 2 5 2" xfId="1940" xr:uid="{DE54A48A-2B66-42AB-ABC5-D3790BCEB833}"/>
    <cellStyle name="Normalny 2 5 3" xfId="1941" xr:uid="{1BC293FE-8342-4E83-BEDF-8B7116A729F6}"/>
    <cellStyle name="Normalny 2 5 3 2" xfId="2534" xr:uid="{AC3784F2-8031-46E4-9C10-B668DFC5CAED}"/>
    <cellStyle name="Normalny 2 5 4" xfId="1942" xr:uid="{74792451-48A5-4903-85B6-2DCE03748D3B}"/>
    <cellStyle name="Normalny 2 5 5" xfId="2332" xr:uid="{9134FE0E-868E-4D00-9A31-619F0240B3CB}"/>
    <cellStyle name="Normalny 2 6" xfId="1943" xr:uid="{35749514-FA79-4631-8B36-522CDC154975}"/>
    <cellStyle name="Normalny 2 6 2" xfId="1944" xr:uid="{E58945DC-A773-468C-92EE-7145ECBFBFE5}"/>
    <cellStyle name="Normalny 2 6 2 2" xfId="1945" xr:uid="{07E6CE68-F3FF-4AFA-87BB-C0213051F4C3}"/>
    <cellStyle name="Normalny 2 6 2 2 2" xfId="2564" xr:uid="{102B4DDF-BA61-4CDA-951F-AA9FD9A94ECC}"/>
    <cellStyle name="Normalny 2 6 2 3" xfId="2491" xr:uid="{6EF24E06-B02C-472E-897B-E8B924A0FD68}"/>
    <cellStyle name="Normalny 2 6 2_IMPORT" xfId="1946" xr:uid="{200D9719-0D14-48EC-9603-F2FD3360012E}"/>
    <cellStyle name="Normalny 2 6 3" xfId="1947" xr:uid="{FEDB43E8-2ABF-4CEC-AA3A-B641A10F415C}"/>
    <cellStyle name="Normalny 2 6 3 2" xfId="2542" xr:uid="{B402740A-57A0-41D4-AB71-1966446D55AA}"/>
    <cellStyle name="Normalny 2 6 4" xfId="1948" xr:uid="{D94891AA-324A-450E-9CA2-1E548080BFBC}"/>
    <cellStyle name="Normalny 2 6 5" xfId="2410" xr:uid="{2A23641F-D69A-48FC-A879-9C2E7366B4BE}"/>
    <cellStyle name="Normalny 2 6_IMPORT" xfId="1949" xr:uid="{BBF55DF7-A48B-4C73-8060-1DADB9C21ACF}"/>
    <cellStyle name="Normalny 2 7" xfId="1950" xr:uid="{0465E8CF-53B1-4CE5-BE3B-84A1A10C372F}"/>
    <cellStyle name="Normalny 2 7 2" xfId="1951" xr:uid="{4620F816-9F96-49BD-969A-4D927CDDBD63}"/>
    <cellStyle name="Normalny 2 7 2 2" xfId="1952" xr:uid="{DF2C51AE-E1A8-4FB6-A029-AD0514DF6984}"/>
    <cellStyle name="Normalny 2 7 2 2 2" xfId="2572" xr:uid="{AC1836AF-7EA0-4F32-85A3-1EE8DDB9BB20}"/>
    <cellStyle name="Normalny 2 7 2 3" xfId="2499" xr:uid="{D550F4D2-DA23-4C7A-8C06-6395E34B03EF}"/>
    <cellStyle name="Normalny 2 7 2_IMPORT" xfId="1953" xr:uid="{DAB567BC-AE08-4BD0-8477-4CC4413A8B95}"/>
    <cellStyle name="Normalny 2 7 3" xfId="1954" xr:uid="{BB72FF5A-E9AD-45FA-886E-A433B5B40542}"/>
    <cellStyle name="Normalny 2 7 3 2" xfId="2549" xr:uid="{45F92246-082B-43E3-9376-BE4CC168B6F7}"/>
    <cellStyle name="Normalny 2 7 4" xfId="1955" xr:uid="{E7358DAE-CC5E-4831-8D91-10EDA428E4AC}"/>
    <cellStyle name="Normalny 2 7 5" xfId="2418" xr:uid="{CB38D652-DD32-415E-84E5-4FAEA8483C58}"/>
    <cellStyle name="Normalny 2 7_IMPORT" xfId="1956" xr:uid="{086808C7-85F5-4675-A9F3-BC5D9AC79C5E}"/>
    <cellStyle name="Normalny 2 8" xfId="1957" xr:uid="{D972C2DB-A08A-4198-8392-83B4AD5A98FB}"/>
    <cellStyle name="Normalny 2 8 2" xfId="1958" xr:uid="{8CE5540A-7FA7-4FB4-A56D-0DFBE0B47319}"/>
    <cellStyle name="Normalny 2 8 2 2" xfId="1959" xr:uid="{E2F328C0-8545-4BC0-A491-A52FB1C38DFA}"/>
    <cellStyle name="Normalny 2 8 2 2 2" xfId="2566" xr:uid="{36C2CE44-E81E-4405-AF0C-35ABFB0200C4}"/>
    <cellStyle name="Normalny 2 8 2 3" xfId="2493" xr:uid="{9BF856BA-B2FA-4276-839E-CC07D3730F6F}"/>
    <cellStyle name="Normalny 2 8 2_IMPORT" xfId="1960" xr:uid="{CC76E058-3B9F-4147-82B8-DE5F8C26B259}"/>
    <cellStyle name="Normalny 2 8 3" xfId="1961" xr:uid="{0F4F9DAB-2B39-48BE-9E7F-1F2E06EE6334}"/>
    <cellStyle name="Normalny 2 8 3 2" xfId="2544" xr:uid="{5A951379-B798-425A-8098-6ADB0CD09B51}"/>
    <cellStyle name="Normalny 2 8 4" xfId="1962" xr:uid="{919C583E-59AB-4463-B1B3-33A40F5F7A81}"/>
    <cellStyle name="Normalny 2 8 5" xfId="2412" xr:uid="{66928AF2-F7DF-4645-9A91-8575CE7E30E7}"/>
    <cellStyle name="Normalny 2 8_IMPORT" xfId="1963" xr:uid="{E1FDFCBD-9325-41AC-9A53-081F0096B01C}"/>
    <cellStyle name="Normalny 2 9" xfId="1964" xr:uid="{F293CD20-F215-4ABF-BF6E-8CB7B70AE5CC}"/>
    <cellStyle name="Normalny 2 9 2" xfId="1965" xr:uid="{0ADC1ACD-95CC-4EC6-B281-E7DFDD139151}"/>
    <cellStyle name="Normalny 2 9 2 2" xfId="1966" xr:uid="{CA6A021E-04DD-4A49-8CA5-21CB1608CB3D}"/>
    <cellStyle name="Normalny 2 9 2 2 2" xfId="2575" xr:uid="{76E4D0B8-A080-4630-BB03-8165FF19D9B2}"/>
    <cellStyle name="Normalny 2 9 2 3" xfId="2502" xr:uid="{5EF57065-6A0E-4FDA-AEB2-E51B56491FD3}"/>
    <cellStyle name="Normalny 2 9 2_IMPORT" xfId="1967" xr:uid="{38D0C6CF-AD76-4037-B4DF-EF65DC8952CE}"/>
    <cellStyle name="Normalny 2 9 3" xfId="1968" xr:uid="{B74E6AA6-F4EE-4B29-8876-F37596A65594}"/>
    <cellStyle name="Normalny 2 9 3 2" xfId="2552" xr:uid="{01299857-FFF0-40C5-A017-0C71185D9D88}"/>
    <cellStyle name="Normalny 2 9 4" xfId="1969" xr:uid="{682350A8-DB75-47E5-9E82-CD7A4CF398B9}"/>
    <cellStyle name="Normalny 2 9 5" xfId="2433" xr:uid="{9E03003E-69AC-4C95-8CF2-F5014C197CC1}"/>
    <cellStyle name="Normalny 2 9_IMPORT" xfId="1970" xr:uid="{F09D19C8-FBE0-4A06-A899-E1C9E034A77C}"/>
    <cellStyle name="Normalny 2_03ceny39" xfId="1971" xr:uid="{31BA1421-FE74-4A18-8C2C-536A57CFA23A}"/>
    <cellStyle name="Normalny 3" xfId="1972" xr:uid="{E412DE31-59F1-482D-ABDC-2759CC3BDD0D}"/>
    <cellStyle name="Normalny 3 10" xfId="1973" xr:uid="{3E703D13-5ED7-4E66-8F71-8FB9A216D317}"/>
    <cellStyle name="Normalny 3 10 2" xfId="1974" xr:uid="{F92A1ED4-5A0D-42D2-BC3C-268E9CF2B87A}"/>
    <cellStyle name="Normalny 3 10 2 2" xfId="1975" xr:uid="{52087B85-7D26-44ED-A3B2-34D55EEAD7F3}"/>
    <cellStyle name="Normalny 3 10 2 2 2" xfId="2577" xr:uid="{499EDA93-ECF3-4A0A-BB1A-556AE4A6CAA1}"/>
    <cellStyle name="Normalny 3 10 2 3" xfId="2504" xr:uid="{711B5F2E-6526-4659-8A0E-70E1F31FD20E}"/>
    <cellStyle name="Normalny 3 10 2_IMPORT" xfId="1976" xr:uid="{79ABFEC4-A109-46D7-9948-51605C986BF2}"/>
    <cellStyle name="Normalny 3 10 3" xfId="1977" xr:uid="{0F731855-685B-4940-91D6-88D6D2B501AD}"/>
    <cellStyle name="Normalny 3 10 3 2" xfId="2554" xr:uid="{40AA873A-48C4-4038-8682-AF63E939B2E3}"/>
    <cellStyle name="Normalny 3 10 4" xfId="2436" xr:uid="{31D15270-BE66-4113-BF6D-D5D6EE8A4445}"/>
    <cellStyle name="Normalny 3 10_IMPORT" xfId="1978" xr:uid="{13C83C84-0A62-42F3-B0C3-33B942508422}"/>
    <cellStyle name="Normalny 3 11" xfId="1979" xr:uid="{C9756AF0-266B-46DA-BA58-6ED4BF0E0982}"/>
    <cellStyle name="Normalny 3 11 2" xfId="1980" xr:uid="{E192D2D3-B725-4F97-B71D-093AEC57ACE4}"/>
    <cellStyle name="Normalny 3 11 2 2" xfId="1981" xr:uid="{A516F33D-D4E8-45C5-BAB3-4E09395B5964}"/>
    <cellStyle name="Normalny 3 11 2 2 2" xfId="2560" xr:uid="{50D2A775-302E-4006-A1E3-FC22E64C1A3F}"/>
    <cellStyle name="Normalny 3 11 2 3" xfId="2481" xr:uid="{1F603B1E-BC8E-47C5-A0CC-79D6C8BCC137}"/>
    <cellStyle name="Normalny 3 11 2_IMPORT" xfId="1982" xr:uid="{C4EE77C6-0213-4B50-8FA7-98C704FCB00F}"/>
    <cellStyle name="Normalny 3 11 3" xfId="1983" xr:uid="{D88E276E-E312-42DE-A790-37A5A91E4941}"/>
    <cellStyle name="Normalny 3 11 3 2" xfId="2539" xr:uid="{F76D700C-C20D-4E3B-89D0-9D96EA7A1F5D}"/>
    <cellStyle name="Normalny 3 11 4" xfId="2336" xr:uid="{61D70755-29AC-4824-BEFC-B2EC1484F38B}"/>
    <cellStyle name="Normalny 3 11_IMPORT" xfId="1984" xr:uid="{F4278052-38F8-46E6-B95B-2FD48274F093}"/>
    <cellStyle name="Normalny 3 12" xfId="1985" xr:uid="{F92DBD61-B8B2-4FC0-B193-59BB73C83424}"/>
    <cellStyle name="Normalny 3 12 2" xfId="1986" xr:uid="{33CA2293-1328-4951-99E7-C21CE414E5DF}"/>
    <cellStyle name="Normalny 3 12 2 2" xfId="2556" xr:uid="{BFCF56B5-ABAF-4B11-BCEB-E8B439ED317D}"/>
    <cellStyle name="Normalny 3 12 3" xfId="2462" xr:uid="{C6FE1D5E-0F48-44A5-8240-7AF2C008F041}"/>
    <cellStyle name="Normalny 3 12_IMPORT" xfId="1987" xr:uid="{3584DA58-2B8C-403F-B90A-5358BEFDE231}"/>
    <cellStyle name="Normalny 3 13" xfId="1988" xr:uid="{8315662D-2902-4A62-A462-51727D554443}"/>
    <cellStyle name="Normalny 3 14" xfId="1989" xr:uid="{19A18B04-43DE-45C8-9DD8-1DB0DE3C2249}"/>
    <cellStyle name="Normalny 3 14 2" xfId="1990" xr:uid="{1A1A3EAB-0819-4D40-960F-16476B163F3E}"/>
    <cellStyle name="Normalny 3 14 2 2" xfId="2579" xr:uid="{190391ED-3270-4B87-BA2F-E400A66E59A7}"/>
    <cellStyle name="Normalny 3 14 3" xfId="2506" xr:uid="{4B7D6DDA-2F85-4561-A55E-F1F58B32C735}"/>
    <cellStyle name="Normalny 3 14_IMPORT" xfId="1991" xr:uid="{580CA59C-B03F-414D-BAD8-BFDF5E509CE5}"/>
    <cellStyle name="Normalny 3 15" xfId="1992" xr:uid="{F9B1AB6B-4D50-4EC9-BAA8-6440036D8D16}"/>
    <cellStyle name="Normalny 3 15 2" xfId="2512" xr:uid="{322AA736-D59E-4AD2-A3B2-9B14D9F2F110}"/>
    <cellStyle name="Normalny 3 16" xfId="1993" xr:uid="{A886964D-A212-48C9-A7A9-10467EF10FD2}"/>
    <cellStyle name="Normalny 3 2" xfId="1994" xr:uid="{F6AB4057-AC07-4368-9D77-83AA009A3D4E}"/>
    <cellStyle name="Normalny 3 2 2" xfId="1995" xr:uid="{30880513-80F9-4632-BE4A-97963FED931C}"/>
    <cellStyle name="Normalny 3 2 3" xfId="1996" xr:uid="{43B69654-36F3-4A5C-AFB1-D01D16F0EEA5}"/>
    <cellStyle name="Normalny 3 2 4" xfId="1997" xr:uid="{6215959B-A811-4781-B162-EB0B7E6C7BB9}"/>
    <cellStyle name="Normalny 3 2 4 2" xfId="1998" xr:uid="{85F3C05E-0990-44AB-9407-F5A3285D8646}"/>
    <cellStyle name="Normalny 3 2 4 3" xfId="2514" xr:uid="{44453BB5-CCAE-4F6A-9B13-CD16E1B36DEE}"/>
    <cellStyle name="Normalny 3 2 4_IMPORT" xfId="1999" xr:uid="{1F47F240-EACA-4998-BDF0-2CEF60288395}"/>
    <cellStyle name="Normalny 3 2 5" xfId="2000" xr:uid="{9F6E3B62-A5CB-4178-B487-92892DDB6E49}"/>
    <cellStyle name="Normalny 3 2 6" xfId="2252" xr:uid="{5B589D8E-2445-44A1-AB0F-F517467FB26F}"/>
    <cellStyle name="Normalny 3 2_03ceny39" xfId="2001" xr:uid="{926B6596-7B3E-4516-AF49-1D8DC63BEAE7}"/>
    <cellStyle name="Normalny 3 3" xfId="2002" xr:uid="{BAF6249C-2F9A-4301-9AB3-9C424DA9E6FC}"/>
    <cellStyle name="Normalny 3 3 2" xfId="2003" xr:uid="{2F300155-3C90-4339-94BD-59043127FD7D}"/>
    <cellStyle name="Normalny 3 3 2 2" xfId="2004" xr:uid="{AF5C324D-8CC5-4D98-A244-4FA287F04098}"/>
    <cellStyle name="Normalny 3 3 2 2 2" xfId="2005" xr:uid="{5FAD1476-B694-452E-A0C8-0865955FDF61}"/>
    <cellStyle name="Normalny 3 3 2 2 2 2" xfId="2574" xr:uid="{E8FBAC2C-C174-42BF-A87B-24A49BAE2493}"/>
    <cellStyle name="Normalny 3 3 2 2 3" xfId="2501" xr:uid="{7ACB09CA-6CA4-4999-B5C3-51F0D5FE01A5}"/>
    <cellStyle name="Normalny 3 3 2 2_IMPORT" xfId="2006" xr:uid="{818A9B3E-7C1D-4E63-8C6E-881B82D465CD}"/>
    <cellStyle name="Normalny 3 3 2 3" xfId="2007" xr:uid="{CE962D96-EB62-4E0A-9D6F-45F63E25F944}"/>
    <cellStyle name="Normalny 3 3 2 3 2" xfId="2551" xr:uid="{59C52060-4294-43B5-9CA1-CEBEAD596872}"/>
    <cellStyle name="Normalny 3 3 2 4" xfId="2008" xr:uid="{01C5D1AA-E457-49D2-B3F4-0C0FE4CEBC20}"/>
    <cellStyle name="Normalny 3 3 2 5" xfId="2420" xr:uid="{7373485C-2CAF-4FF0-97E2-E5C464E080F3}"/>
    <cellStyle name="Normalny 3 3 2_IMPORT" xfId="2009" xr:uid="{F61BB980-EA84-4D4E-AE06-BD498F4CCFBE}"/>
    <cellStyle name="Normalny 3 3 3" xfId="2010" xr:uid="{86B7CFA3-58EC-4D28-BAC1-EF45BC304002}"/>
    <cellStyle name="Normalny 3 3 3 2" xfId="2011" xr:uid="{B38ACA39-477F-4055-A1C2-7085FD43D75D}"/>
    <cellStyle name="Normalny 3 3 3 2 2" xfId="2541" xr:uid="{90B38190-566B-4966-98AE-77A3E15FC278}"/>
    <cellStyle name="Normalny 3 3 3 3" xfId="2012" xr:uid="{AE27001E-2BFA-452D-B43E-AADF21129874}"/>
    <cellStyle name="Normalny 3 3 3 4" xfId="2392" xr:uid="{E8C183BF-39F0-4B67-B264-35C30EEA54B7}"/>
    <cellStyle name="Normalny 3 3 3_IMPORT" xfId="2013" xr:uid="{63E0DC4F-A5FC-4194-8D61-611D225102CA}"/>
    <cellStyle name="Normalny 3 3 4" xfId="2014" xr:uid="{A0E291B8-A982-4011-9ED5-550164EF1699}"/>
    <cellStyle name="Normalny 3 3 4 2" xfId="2015" xr:uid="{18B512A6-F641-4A6A-8411-EBAC15CCA933}"/>
    <cellStyle name="Normalny 3 3 4 2 2" xfId="2563" xr:uid="{CAC376A6-703E-4C42-9525-DE62BE9FC338}"/>
    <cellStyle name="Normalny 3 3 4 3" xfId="2490" xr:uid="{4BAD7C85-D173-49E7-AD22-3A7E9CDF6549}"/>
    <cellStyle name="Normalny 3 3 4_IMPORT" xfId="2016" xr:uid="{087B76FC-6BAC-4C1C-842D-58F59A98BCA8}"/>
    <cellStyle name="Normalny 3 3 5" xfId="2017" xr:uid="{0A9D79B5-6A61-460B-9C38-05462095E964}"/>
    <cellStyle name="Normalny 3 3 5 2" xfId="2018" xr:uid="{7FC0123B-1508-4469-94A3-20A61423EB0B}"/>
    <cellStyle name="Normalny 3 3 5 2 2" xfId="2581" xr:uid="{287E64AC-296F-4CBB-8391-EFB748A3E88A}"/>
    <cellStyle name="Normalny 3 3 5 3" xfId="2508" xr:uid="{E8136678-8761-4841-BCF2-F3A674975E7E}"/>
    <cellStyle name="Normalny 3 3 5_IMPORT" xfId="2019" xr:uid="{0F28BC59-D417-4FA2-B2D9-78E36CCF6578}"/>
    <cellStyle name="Normalny 3 3 6" xfId="2020" xr:uid="{503D99D9-AF76-4779-BB22-F759C2DF8306}"/>
    <cellStyle name="Normalny 3 3 6 2" xfId="2535" xr:uid="{B5AB959F-6E99-42EF-AA27-8992562645CF}"/>
    <cellStyle name="Normalny 3 3 7" xfId="2021" xr:uid="{36EDBAB0-183C-41D5-87BF-F644E91A8CF3}"/>
    <cellStyle name="Normalny 3 3_IMPORT" xfId="2022" xr:uid="{574CA290-D2A9-4762-915C-5CABE69968C5}"/>
    <cellStyle name="Normalny 3 4" xfId="2023" xr:uid="{C20CD985-79CE-4099-AC62-785250EA4E23}"/>
    <cellStyle name="Normalny 3 4 2" xfId="2024" xr:uid="{475CC778-C4A2-4269-A1AD-001D8409A9C5}"/>
    <cellStyle name="Normalny 3 4 3" xfId="2025" xr:uid="{00527464-AF10-418F-9DD5-17D31E3E63EA}"/>
    <cellStyle name="Normalny 3 4 3 2" xfId="2536" xr:uid="{FEBCA767-2F01-4A9B-8996-B7EC386D1666}"/>
    <cellStyle name="Normalny 3 4 4" xfId="2026" xr:uid="{3EB23E7F-89E8-4124-B399-52159C9EF969}"/>
    <cellStyle name="Normalny 3 4 5" xfId="2333" xr:uid="{B67FAF9F-883A-4F73-AC0F-E393D522C4C0}"/>
    <cellStyle name="Normalny 3 5" xfId="2027" xr:uid="{C61C6E84-3E14-4256-A4DB-53C45AF25F9B}"/>
    <cellStyle name="Normalny 3 5 2" xfId="2028" xr:uid="{14CA4D6F-4245-47F7-9C3C-F2CDD30DE8F9}"/>
    <cellStyle name="Normalny 3 5 2 2" xfId="2029" xr:uid="{47C78C1B-3022-48F0-80AB-16BA47CACC3A}"/>
    <cellStyle name="Normalny 3 5 2 2 2" xfId="2543" xr:uid="{AC0B1132-4A23-469D-9775-BC1D441A2A54}"/>
    <cellStyle name="Normalny 3 5 2 3" xfId="2411" xr:uid="{72531F48-7EF0-4B56-90A0-744D6772B9C7}"/>
    <cellStyle name="Normalny 3 5 2_IMPORT" xfId="2030" xr:uid="{FC6B50B7-59F9-4A95-B67D-F45B4C77BEF5}"/>
    <cellStyle name="Normalny 3 5 3" xfId="2031" xr:uid="{3D75E264-A3BA-41E1-A0C8-F057258FE995}"/>
    <cellStyle name="Normalny 3 5 3 2" xfId="2032" xr:uid="{86A8ECB2-81F6-4425-8EFF-6B6FBE7BF562}"/>
    <cellStyle name="Normalny 3 5 3 2 2" xfId="2565" xr:uid="{207AE80F-2E62-4DBE-AE17-5C7F4A862EFA}"/>
    <cellStyle name="Normalny 3 5 3 3" xfId="2492" xr:uid="{0181CB93-1194-4535-8ACB-B4FA3667A2C8}"/>
    <cellStyle name="Normalny 3 5 3_IMPORT" xfId="2033" xr:uid="{85A99865-EA3F-4C6B-A554-CF36D05D6A2B}"/>
    <cellStyle name="Normalny 3 5 4" xfId="2034" xr:uid="{E2AE97BC-4C85-4D7D-AEC9-D2828F240BFE}"/>
    <cellStyle name="Normalny 3 5 4 2" xfId="2537" xr:uid="{6D5ACA8B-AC37-4EC5-B525-54973CE9FF44}"/>
    <cellStyle name="Normalny 3 5 5" xfId="2035" xr:uid="{ADECE22D-AE72-4735-943A-075A2A70DF89}"/>
    <cellStyle name="Normalny 3 5 6" xfId="2334" xr:uid="{740D7CA6-51B5-4753-857A-1C8DA2C506C0}"/>
    <cellStyle name="Normalny 3 5_IMPORT" xfId="2036" xr:uid="{EDDE1904-C8E8-4305-B7F4-5A23156C7BED}"/>
    <cellStyle name="Normalny 3 6" xfId="2037" xr:uid="{21D9C959-9945-4D8B-A136-56726BA437F9}"/>
    <cellStyle name="Normalny 3 6 2" xfId="2038" xr:uid="{B222B7BB-A425-462F-AF82-C8502F2ADAA5}"/>
    <cellStyle name="Normalny 3 6 2 2" xfId="2039" xr:uid="{70333E87-1E2F-44EA-8A36-31A2E4C1F76C}"/>
    <cellStyle name="Normalny 3 6 2 2 2" xfId="2571" xr:uid="{311CE25D-1AAC-4B84-BBC8-2F89EEBE57D3}"/>
    <cellStyle name="Normalny 3 6 2 3" xfId="2498" xr:uid="{21131447-2770-4843-B9CF-F1C09161ECBD}"/>
    <cellStyle name="Normalny 3 6 2_IMPORT" xfId="2040" xr:uid="{69DC0533-1698-4AD0-A666-B38264FF853E}"/>
    <cellStyle name="Normalny 3 6 3" xfId="2041" xr:uid="{5B5E03AB-0FB0-4591-858D-A220E6E4F996}"/>
    <cellStyle name="Normalny 3 6 3 2" xfId="2548" xr:uid="{90696306-D357-485F-A103-000DBC4AAD92}"/>
    <cellStyle name="Normalny 3 6 4" xfId="2042" xr:uid="{15D9BE62-7076-425C-831E-85954120996E}"/>
    <cellStyle name="Normalny 3 6 5" xfId="2417" xr:uid="{777F60B8-51A9-4F4F-BAFE-86B18E061979}"/>
    <cellStyle name="Normalny 3 6_IMPORT" xfId="2043" xr:uid="{DDC2B123-F278-4F74-9F24-BCF2C15E708E}"/>
    <cellStyle name="Normalny 3 7" xfId="2044" xr:uid="{08846122-DA0B-4F76-BA10-0D5BA4044FEC}"/>
    <cellStyle name="Normalny 3 7 2" xfId="2045" xr:uid="{E08E75C1-1792-469D-9D71-B7CA8A278830}"/>
    <cellStyle name="Normalny 3 7 2 2" xfId="2046" xr:uid="{A95FAF0C-E3A2-4047-B1F8-B8730EBC9647}"/>
    <cellStyle name="Normalny 3 7 2 2 2" xfId="2567" xr:uid="{7E8F58B6-1357-4ADD-8EBB-DE0911DD4479}"/>
    <cellStyle name="Normalny 3 7 2 3" xfId="2494" xr:uid="{869DD7F1-E0F7-44EB-95A3-CD61E7861384}"/>
    <cellStyle name="Normalny 3 7 2_IMPORT" xfId="2047" xr:uid="{68656280-03AC-4C67-ABE2-A6706A8E1FA5}"/>
    <cellStyle name="Normalny 3 7 3" xfId="2048" xr:uid="{48251EAC-047E-4F9A-BF60-E97D86F77282}"/>
    <cellStyle name="Normalny 3 7 3 2" xfId="2545" xr:uid="{2EAE74ED-FBD1-4296-A0BF-4006F8236743}"/>
    <cellStyle name="Normalny 3 7 4" xfId="2049" xr:uid="{5C5EF657-578E-4BB7-9227-A0FB1569B1EE}"/>
    <cellStyle name="Normalny 3 7 5" xfId="2413" xr:uid="{659F22F3-028C-4743-8933-E25470D39AEE}"/>
    <cellStyle name="Normalny 3 7_IMPORT" xfId="2050" xr:uid="{0BDC7654-6CB7-4346-A9EB-BAAEDAC66DF3}"/>
    <cellStyle name="Normalny 3 8" xfId="2051" xr:uid="{EB624224-473F-4E40-BC01-A647D2A9FF3F}"/>
    <cellStyle name="Normalny 3 8 2" xfId="2052" xr:uid="{4BDE4A97-B86F-469F-ABD9-137B5E425C27}"/>
    <cellStyle name="Normalny 3 8 2 2" xfId="2053" xr:uid="{9C2C4996-D253-4BE9-8C75-38C13FE523AA}"/>
    <cellStyle name="Normalny 3 8 2 2 2" xfId="2576" xr:uid="{A069237A-1E98-4BEA-A3C6-03E6F5A04C3A}"/>
    <cellStyle name="Normalny 3 8 2 3" xfId="2503" xr:uid="{0CDADD0B-4FC2-450E-915B-1A478FA8A8DE}"/>
    <cellStyle name="Normalny 3 8 2_IMPORT" xfId="2054" xr:uid="{EB43C378-04A2-4AC2-AB48-E301DB945672}"/>
    <cellStyle name="Normalny 3 8 3" xfId="2055" xr:uid="{C79A21B6-C568-4716-8793-5849A6330BDE}"/>
    <cellStyle name="Normalny 3 8 3 2" xfId="2553" xr:uid="{5F5F32A6-15C8-48EA-B9B1-9BCE98306F23}"/>
    <cellStyle name="Normalny 3 8 4" xfId="2434" xr:uid="{0E3174CE-C283-40B6-A673-8C4AB01C3567}"/>
    <cellStyle name="Normalny 3 8_IMPORT" xfId="2056" xr:uid="{48DC4907-E175-40AF-9FAC-AB29D19AAAE2}"/>
    <cellStyle name="Normalny 3 9" xfId="2057" xr:uid="{AD8500E0-D471-4CD9-A154-78ACB1E5DBC8}"/>
    <cellStyle name="Normalny 3 9 2" xfId="2058" xr:uid="{0058E80B-AED1-48EE-B880-2809BB94BBB0}"/>
    <cellStyle name="Normalny 3 9 2 2" xfId="2059" xr:uid="{A8125943-5283-4A0A-B624-3850F868E877}"/>
    <cellStyle name="Normalny 3 9 2 2 2" xfId="2569" xr:uid="{993B58AA-8F42-468A-825D-F6AB8335555D}"/>
    <cellStyle name="Normalny 3 9 2 3" xfId="2496" xr:uid="{83FA1E95-79FB-4FAF-934B-8CAD23509ED3}"/>
    <cellStyle name="Normalny 3 9 2_IMPORT" xfId="2060" xr:uid="{F13A0514-F260-4D0E-BCFD-1377CD31DC76}"/>
    <cellStyle name="Normalny 3 9 3" xfId="2061" xr:uid="{726EAB22-B40A-4936-9FB5-DBED3F294F6D}"/>
    <cellStyle name="Normalny 3 9 3 2" xfId="2547" xr:uid="{60CB75B9-D40C-4A01-BD8E-E5758ED9A362}"/>
    <cellStyle name="Normalny 3 9 4" xfId="2415" xr:uid="{19CEE259-3B2B-4DEB-9275-F96C0543C484}"/>
    <cellStyle name="Normalny 3 9_IMPORT" xfId="2062" xr:uid="{2FD5A314-1009-46BB-8B7D-5BD6CDA7879C}"/>
    <cellStyle name="Normalny 3_03ceny39" xfId="2063" xr:uid="{C0570C7F-66E3-4659-B646-604A47294465}"/>
    <cellStyle name="Normalny 4" xfId="2064" xr:uid="{FD307538-F97E-4666-AF32-AC92D84AE424}"/>
    <cellStyle name="Normalny 4 2" xfId="2065" xr:uid="{BC896D57-66B9-4D97-8223-F0B4822AA9DF}"/>
    <cellStyle name="Normalny 4 2 2" xfId="2066" xr:uid="{22A95A3F-4A4F-4C60-BD5C-A091BE1867B3}"/>
    <cellStyle name="Normalny 4 2 3" xfId="2067" xr:uid="{4367B6B6-5452-4AA5-A239-151647FDA0B4}"/>
    <cellStyle name="Normalny 4 2_IMPORT" xfId="2068" xr:uid="{BDECD5A2-6F1F-47D3-BF41-6D200BBDE740}"/>
    <cellStyle name="Normalny 4 3" xfId="2069" xr:uid="{00F16618-E3FA-43E3-9C92-4DA4ED93FC1E}"/>
    <cellStyle name="Normalny 4 4" xfId="2070" xr:uid="{A60A5367-4742-4D5F-97D2-0664BE0AFF19}"/>
    <cellStyle name="Normalny 4 5" xfId="2330" xr:uid="{230906FA-662A-49E4-AD0B-FBB9D37B8727}"/>
    <cellStyle name="Normalny 4_16_25_wartości importów_2" xfId="2071" xr:uid="{E53DFFB7-65BB-40C0-A1C2-38FAB1BD164B}"/>
    <cellStyle name="Normalny 5" xfId="2072" xr:uid="{D70EFEED-22AD-478A-8650-BF021444DB6F}"/>
    <cellStyle name="Normalny 6" xfId="2073" xr:uid="{8B673F84-0D48-4422-A93B-EE0C534151AC}"/>
    <cellStyle name="Normalny 7" xfId="2074" xr:uid="{83CFF755-3FB5-4F67-9326-575661096C88}"/>
    <cellStyle name="Normalny 7 2" xfId="2075" xr:uid="{14A5D2CC-F555-47DE-BD61-AD6F6EEA001B}"/>
    <cellStyle name="Normalny 7 3" xfId="2076" xr:uid="{762B2066-BF64-4008-870B-D90548889CCF}"/>
    <cellStyle name="Normalny 7_IMPORT" xfId="2077" xr:uid="{5EBDDD8B-1652-40D1-9CBC-0FC154B75AD0}"/>
    <cellStyle name="Normalny 8" xfId="2078" xr:uid="{B669C6FC-BF77-476B-AEAA-530134234E9C}"/>
    <cellStyle name="Normalny 9" xfId="2079" xr:uid="{6A501038-D83B-4FE9-AF41-1AA70CD4726E}"/>
    <cellStyle name="Normalny 9 2" xfId="2509" xr:uid="{4EBB20EB-EE7D-4E12-B47D-70BEF6901364}"/>
    <cellStyle name="Normalny_IMPORT" xfId="3339" xr:uid="{94205A0C-2D82-400D-83C3-F62A9A25C6EE}"/>
    <cellStyle name="Normalny_IMPORT_3" xfId="3499" xr:uid="{0429F71D-63A8-4C44-9B60-0DB50C157D4C}"/>
    <cellStyle name="Normalny_slownik_2" xfId="3498" xr:uid="{10B2DEFD-A5E0-4523-B197-6EDF023EF1F5}"/>
    <cellStyle name="Note" xfId="2080" xr:uid="{A241C02C-ED9A-4937-8F9C-1F7D6AF1BA62}"/>
    <cellStyle name="Note 1" xfId="2081" xr:uid="{20873A8E-71AE-49B9-B837-78A25672A421}"/>
    <cellStyle name="Note 1 2" xfId="2082" xr:uid="{E363B020-DD66-4E1B-BE01-A430AFBF27D8}"/>
    <cellStyle name="Note 2" xfId="2083" xr:uid="{7BF4F69D-7777-4867-BB98-2086446CE2DC}"/>
    <cellStyle name="Note 2 2" xfId="2084" xr:uid="{176D7039-7E57-4CC6-ADC1-6A193651BD89}"/>
    <cellStyle name="Note 2 2 2" xfId="2085" xr:uid="{EAD74D98-1FE5-482B-8552-8F10616FCFA1}"/>
    <cellStyle name="Note 2 3" xfId="2086" xr:uid="{6AE3DF8C-595E-4AC3-982E-FECB41D69940}"/>
    <cellStyle name="Note 2_def" xfId="2087" xr:uid="{0E5DC749-B2CC-4DC6-B805-9D7F9666D3E3}"/>
    <cellStyle name="Note 3" xfId="2088" xr:uid="{76313262-97B6-4DF6-B49A-C42D411873C7}"/>
    <cellStyle name="Note 3 2" xfId="2089" xr:uid="{9D73B2B6-BC3E-4460-A263-8D4E41ECA484}"/>
    <cellStyle name="Note 4" xfId="2090" xr:uid="{EC9A4ED4-780D-4AE7-B729-074C43F0A7F7}"/>
    <cellStyle name="Note 4 2" xfId="2091" xr:uid="{A74683F7-762E-445C-A3DB-3EE5A7F7BC2D}"/>
    <cellStyle name="Note_50_ceny" xfId="2092" xr:uid="{7BE09782-DBB2-4593-B7AD-B89DF4584398}"/>
    <cellStyle name="Notiz" xfId="2093" xr:uid="{D17D0F82-8088-4EBC-BFE1-3893F2AAF32D}"/>
    <cellStyle name="Notiz 2" xfId="2094" xr:uid="{B367FBF7-B9E2-4EF0-9924-3277E618811B}"/>
    <cellStyle name="Notiz 3" xfId="2331" xr:uid="{04EF2C10-2F31-4058-B27F-889C5AFC5535}"/>
    <cellStyle name="Obliczenia 2" xfId="2095" xr:uid="{2624D564-2E8C-47FF-AA6F-CE5875D0F66F}"/>
    <cellStyle name="Obliczenia 2 2" xfId="2096" xr:uid="{C35BF4F9-2D51-406F-8A8E-31E4953A3A18}"/>
    <cellStyle name="Obliczenia 2 3" xfId="2097" xr:uid="{AB384AEC-CED2-482A-BDDE-C868C8E22E43}"/>
    <cellStyle name="Obliczenia 2 4" xfId="2098" xr:uid="{F5ABDB5E-8A59-44EB-8545-4D016E0A52B9}"/>
    <cellStyle name="Obliczenia 3" xfId="2099" xr:uid="{561CC563-194E-403D-8BC3-385B43C5F185}"/>
    <cellStyle name="Obliczenia 4" xfId="2100" xr:uid="{877F729A-E7CA-4644-916D-821F25DFFA65}"/>
    <cellStyle name="Obliczenia 4 2" xfId="2101" xr:uid="{5D5FE9BF-7E37-437D-A92F-6C226981B83F}"/>
    <cellStyle name="Obliczenia 5" xfId="2102" xr:uid="{E1829F7C-B87D-4E9F-A00A-926943280C70}"/>
    <cellStyle name="Output" xfId="2103" xr:uid="{DF8015D9-3CF8-4D87-B6DA-CDA21B4EFFDC}"/>
    <cellStyle name="Output 2" xfId="2104" xr:uid="{79CDB694-2F80-4C20-9A4F-A74A6F0EF604}"/>
    <cellStyle name="Output_Additional price" xfId="2105" xr:uid="{7D6DF4EE-7432-4818-802C-17E65F9EC03D}"/>
    <cellStyle name="Percent 2" xfId="2106" xr:uid="{0FC46728-AB85-4028-A531-23ECA7F45F8C}"/>
    <cellStyle name="Pivot Table Category" xfId="2107" xr:uid="{3A2B442F-5DC6-498D-9B75-A9A35C8F4F41}"/>
    <cellStyle name="Pivot Table Category 2" xfId="2108" xr:uid="{0574C41C-86C4-4BD5-A93C-CC1AEE8F9657}"/>
    <cellStyle name="Pivot Table Category 2 2" xfId="2109" xr:uid="{D57BAF1D-14AD-4628-9304-5A602C4C8583}"/>
    <cellStyle name="Pivot Table Category 2 3" xfId="2483" xr:uid="{11FA394B-FD66-409B-AB84-FC97E1D1B6B9}"/>
    <cellStyle name="Pivot Table Category 3" xfId="2110" xr:uid="{E40226EC-3D87-4DD9-B760-D4E509635FC2}"/>
    <cellStyle name="Pivot Table Category 3 2" xfId="2111" xr:uid="{C1D2D58E-28B7-4E53-8BA1-F3380DEED91B}"/>
    <cellStyle name="Pivot Table Corner" xfId="2112" xr:uid="{7EF6CC95-0050-4868-A5E6-B6CD5FD507D5}"/>
    <cellStyle name="Pivot Table Corner 2" xfId="2113" xr:uid="{28DAF161-EAEE-4225-A897-246AE30B5D6D}"/>
    <cellStyle name="Pivot Table Corner 2 2" xfId="2114" xr:uid="{DF0754FF-169D-4275-9D63-D2CFB3F4ABC9}"/>
    <cellStyle name="Pivot Table Corner 2 3" xfId="2484" xr:uid="{B8B1AAAB-78F7-4ECC-9A88-C898CDD54179}"/>
    <cellStyle name="Pivot Table Corner 3" xfId="2115" xr:uid="{2CAA549F-FB92-4BB4-82A0-6B3C9FB3EBA3}"/>
    <cellStyle name="Pivot Table Corner 3 2" xfId="2116" xr:uid="{315C72CC-AED9-4993-B09C-BF83755F184F}"/>
    <cellStyle name="Pivot Table Field" xfId="2117" xr:uid="{2B0B4D18-8C3B-4D77-9198-D8237DEE86DB}"/>
    <cellStyle name="Pivot Table Field 2" xfId="2118" xr:uid="{FD3314D0-E145-40F5-BBFB-FA7961B028C7}"/>
    <cellStyle name="Pivot Table Field 2 2" xfId="2119" xr:uid="{C7D3DC8B-9E68-4122-88E2-85D1CE4EA57B}"/>
    <cellStyle name="Pivot Table Field 2 3" xfId="2485" xr:uid="{8A0C7B83-B714-4592-B700-C8507D017A40}"/>
    <cellStyle name="Pivot Table Field 3" xfId="2120" xr:uid="{EA22F0D6-9062-4D72-B102-31831F004A84}"/>
    <cellStyle name="Pivot Table Field 3 2" xfId="2121" xr:uid="{3B484274-3451-4C7C-A472-7D11CE18F171}"/>
    <cellStyle name="Pivot Table Result" xfId="2122" xr:uid="{5C401084-9524-4D26-84D1-D9C6146C4726}"/>
    <cellStyle name="Pivot Table Result 2" xfId="2123" xr:uid="{AC6C85DD-C53E-482D-8A41-823183F08BEC}"/>
    <cellStyle name="Pivot Table Result 2 2" xfId="2124" xr:uid="{561C0654-0734-43DA-935A-D4A666936E71}"/>
    <cellStyle name="Pivot Table Result 2 3" xfId="2486" xr:uid="{FA3E77E0-19C8-4F4F-B3FF-CBAFD374DB64}"/>
    <cellStyle name="Pivot Table Result 3" xfId="2125" xr:uid="{B6FB2948-2F68-4860-BC8F-43B0F9437607}"/>
    <cellStyle name="Pivot Table Result 3 2" xfId="2126" xr:uid="{876DE38B-4A30-448E-BA72-FD9EB63EDD10}"/>
    <cellStyle name="Pivot Table Result_IMPORT" xfId="2127" xr:uid="{FAC15B72-C590-450E-AE5A-A2C875271566}"/>
    <cellStyle name="Pivot Table Title" xfId="2128" xr:uid="{099124AD-8DD0-46EE-89EE-C590207AD6AC}"/>
    <cellStyle name="Pivot Table Title 2" xfId="2129" xr:uid="{5FA09ED6-732B-403E-B81D-281492E9E5DE}"/>
    <cellStyle name="Pivot Table Title 2 2" xfId="2130" xr:uid="{02D3FB4A-A7C0-40F5-98F9-A5D7A12C27D4}"/>
    <cellStyle name="Pivot Table Title 2 3" xfId="2487" xr:uid="{C1F6405C-55F4-4279-B753-56A3961A96DC}"/>
    <cellStyle name="Pivot Table Title 3" xfId="2131" xr:uid="{0B9CAB64-5E46-4695-ABE1-BF0E9568F880}"/>
    <cellStyle name="Pivot Table Title 3 2" xfId="2132" xr:uid="{7D4E363D-5A57-4F82-A7AC-3C595F2C8085}"/>
    <cellStyle name="Pivot Table Title_IMPORT" xfId="2133" xr:uid="{CD0DE9EE-CA9E-47FE-9958-F743C47846DF}"/>
    <cellStyle name="Pivot Table Value" xfId="2134" xr:uid="{3B409818-91B4-4048-A867-2D2D00C2508E}"/>
    <cellStyle name="Pivot Table Value 2" xfId="2135" xr:uid="{04A37E8F-93B3-4C87-B38A-4F8D2A506E60}"/>
    <cellStyle name="Pivot Table Value 2 2" xfId="2136" xr:uid="{9FA195F5-BD90-4C76-8FCE-9E2E45CE53B8}"/>
    <cellStyle name="Pivot Table Value 2 3" xfId="2488" xr:uid="{EF896841-3025-4647-8868-FE0029A09073}"/>
    <cellStyle name="Pivot Table Value 3" xfId="2137" xr:uid="{4253B16B-2463-40EB-A91B-DDC9E38CDCBF}"/>
    <cellStyle name="Pivot Table Value 3 2" xfId="2138" xr:uid="{21FAE84E-219B-4949-AA00-F45860FBF590}"/>
    <cellStyle name="Procentowy 2" xfId="2139" xr:uid="{82BEB2DA-7DA9-4581-924F-310357E47D18}"/>
    <cellStyle name="Procentowy 2 2" xfId="2140" xr:uid="{8F72D913-E35B-41D4-933E-46B695BEFE2D}"/>
    <cellStyle name="Procentowy 2 3" xfId="2141" xr:uid="{0A20FE87-9690-477E-B9BC-BBADFA545CA4}"/>
    <cellStyle name="Procentowy 2 3 2" xfId="2387" xr:uid="{90D53007-097C-4DF1-9620-5D80D6983BF4}"/>
    <cellStyle name="Procentowy 2_CENA" xfId="2142" xr:uid="{0ACCE179-C0EC-42AE-850E-80D8019C2A96}"/>
    <cellStyle name="Result" xfId="2143" xr:uid="{D7D8D2F6-37D5-4F9A-9327-369DC0AAE297}"/>
    <cellStyle name="Result2" xfId="2144" xr:uid="{954E9B3E-0CBB-4122-A2CE-9F53B6B8D205}"/>
    <cellStyle name="Schlecht" xfId="2145" xr:uid="{C9C21060-D10E-4204-A16D-F3D664B96802}"/>
    <cellStyle name="Sheet Title" xfId="2146" xr:uid="{282FA1E8-5BF0-4249-9071-4D6A285C9FB7}"/>
    <cellStyle name="Standaard 13" xfId="2147" xr:uid="{53ECDA97-A165-4633-A7A0-0EB44E74A5C3}"/>
    <cellStyle name="Standaard 2" xfId="2148" xr:uid="{BB26F6CB-80B1-4B04-9F43-DEF51DE51903}"/>
    <cellStyle name="Standaard 2 2" xfId="2149" xr:uid="{75C8A20A-EB01-45F2-A09C-065CC41D5982}"/>
    <cellStyle name="Standaard 2 3" xfId="2150" xr:uid="{224F4D0B-FF6D-4583-B40E-898BC2B9D50B}"/>
    <cellStyle name="Standaard 2_IMPORT" xfId="3496" xr:uid="{FC8D8B68-BE03-4473-873B-C4880FC301F9}"/>
    <cellStyle name="Standaard 3" xfId="2151" xr:uid="{DA25D342-6517-4885-BD90-C88352B3FC7A}"/>
    <cellStyle name="Standaard 3 2" xfId="2152" xr:uid="{B0BE24FD-010A-4F84-9D69-EE1BA418064E}"/>
    <cellStyle name="Standaard 3 3" xfId="2153" xr:uid="{5D3F5E2C-FBC7-43C0-8E23-6F6D326A1E05}"/>
    <cellStyle name="Standaard 3_IMPORT" xfId="3497" xr:uid="{F9CBB8E2-70C0-469F-B6D5-D383CBEA66E3}"/>
    <cellStyle name="Standaard 4" xfId="2154" xr:uid="{BBA61B29-52AD-4F49-93A3-023C3BF84624}"/>
    <cellStyle name="Standaard 7" xfId="2155" xr:uid="{D81B3177-9600-4317-945F-5B78BC6EC210}"/>
    <cellStyle name="Standaard_Blad1" xfId="2156" xr:uid="{55B6A83F-A2A2-43BA-969F-94BDD067099D}"/>
    <cellStyle name="Standard 2" xfId="2157" xr:uid="{278F5151-375F-4C4D-BE68-5BB80881F59D}"/>
    <cellStyle name="Standard 2 2" xfId="2158" xr:uid="{79729F98-4DB0-4A4B-B00C-8F74BB784BD5}"/>
    <cellStyle name="Standard 2 3" xfId="2159" xr:uid="{32E41FA8-EDEF-46F0-B1CF-4FDD84995452}"/>
    <cellStyle name="Standard 2 4" xfId="2160" xr:uid="{06B97CAB-1C5B-41D4-8C82-953CD066EFB3}"/>
    <cellStyle name="Standard 3" xfId="2161" xr:uid="{C04D5F29-FD05-46E4-9745-007FD010E83C}"/>
    <cellStyle name="Status" xfId="2162" xr:uid="{FDA0BEAA-E801-4126-BC3A-632CA40B6463}"/>
    <cellStyle name="Status 7" xfId="2163" xr:uid="{09FB6597-3986-4ABB-96D2-25A383FE01F7}"/>
    <cellStyle name="Status_slownik" xfId="2164" xr:uid="{A7600CD8-547E-4641-B2EF-A2DADBA2E708}"/>
    <cellStyle name="Suma 2" xfId="2165" xr:uid="{98E88E72-F0A4-4F49-B87A-BD010B3985E9}"/>
    <cellStyle name="Suma 2 2" xfId="2166" xr:uid="{D5ABB728-E96D-4C7C-B443-DD01A9DB6207}"/>
    <cellStyle name="Suma 2 3" xfId="2167" xr:uid="{66833272-0447-4D5B-8AC8-0E359FEDC0A9}"/>
    <cellStyle name="Suma 2 4" xfId="2168" xr:uid="{6DCD5FA4-5C55-40E6-B91A-CC5CFBB2B2E5}"/>
    <cellStyle name="Suma 3" xfId="2169" xr:uid="{F77E1EA9-FE97-4961-8F96-C9AD321D6F9F}"/>
    <cellStyle name="Suma 4" xfId="2170" xr:uid="{DA052F57-208D-482D-84EB-D9E22CD1A03C}"/>
    <cellStyle name="Suma 5" xfId="2171" xr:uid="{C93A7652-4518-406D-846E-27DB43BDFBAB}"/>
    <cellStyle name="Tabellenvorlage Cosiflor" xfId="2172" xr:uid="{E09DB8A9-BFDE-4BC0-9B34-8AC1E6EC2AE8}"/>
    <cellStyle name="Tekst obja?nienia" xfId="2173" xr:uid="{3AFF4E44-256F-4B99-AEC6-692B83DF8195}"/>
    <cellStyle name="Tekst objaśnienia 2" xfId="2174" xr:uid="{161858FE-6E44-4422-A66A-24F79CC8C20D}"/>
    <cellStyle name="Tekst objaśnienia 2 2" xfId="2175" xr:uid="{2279F9BC-DBCD-49B6-926F-CD3B810DFC56}"/>
    <cellStyle name="Tekst objaśnienia 2 2 2" xfId="2388" xr:uid="{D0BF90BB-D1B2-4CC2-B826-D3D8A9E0C90A}"/>
    <cellStyle name="Tekst objaśnienia 2 3" xfId="2176" xr:uid="{9519721C-5ED0-4AAB-B4DA-0ECA094577A4}"/>
    <cellStyle name="Tekst objaśnienia 2 4" xfId="2177" xr:uid="{3CF51649-35C7-4BE9-AC79-A4C5B4DF9998}"/>
    <cellStyle name="Tekst objaśnienia 2_IMPORT" xfId="2178" xr:uid="{3D10FFC8-8B82-43BF-BEFD-4DDCBAAEEE02}"/>
    <cellStyle name="Tekst objaśnienia 3" xfId="2179" xr:uid="{1905D883-B16F-4C2B-A539-D380EBC41038}"/>
    <cellStyle name="Tekst objaśnienia 4" xfId="2180" xr:uid="{2B417D53-941A-4956-9678-96852CA5759A}"/>
    <cellStyle name="Tekst objaśnienia 5" xfId="2181" xr:uid="{57BBA385-24C5-4E98-B6D6-3FA990A26726}"/>
    <cellStyle name="Tekst ostrze?enia" xfId="2182" xr:uid="{9A512B60-31A4-4AF4-B20C-C07EF91AFBD8}"/>
    <cellStyle name="Tekst ostrzeżenia 2" xfId="2183" xr:uid="{B5870A0B-C2B0-4A72-B315-A855109996A0}"/>
    <cellStyle name="Tekst ostrzeżenia 2 2" xfId="2184" xr:uid="{3F090164-3C94-4355-96EA-28266EE0EB46}"/>
    <cellStyle name="Tekst ostrzeżenia 2 3" xfId="2185" xr:uid="{DC32F5D3-B370-4B93-A7FA-2C77499D2BB0}"/>
    <cellStyle name="Tekst ostrzeżenia 3" xfId="2186" xr:uid="{547D5FBD-24D4-4F86-B24E-44916663AE5B}"/>
    <cellStyle name="Tekst ostrzeżenia 4" xfId="2187" xr:uid="{47A1419A-487A-4D8D-927E-B6FFD0564FE0}"/>
    <cellStyle name="Tekst ostrzeżenia 5" xfId="2188" xr:uid="{E2FF9ACC-B4ED-409C-858F-10FBADB0B366}"/>
    <cellStyle name="Text" xfId="2189" xr:uid="{DA1A83EF-A23D-4DA4-95AA-CCC89108776D}"/>
    <cellStyle name="Text 3" xfId="2190" xr:uid="{94879B92-C92E-40F5-8998-8DE0E04DAF68}"/>
    <cellStyle name="Text_slownik" xfId="2191" xr:uid="{2BF75A79-B989-40E6-A17D-87741B262A49}"/>
    <cellStyle name="Title" xfId="2192" xr:uid="{C09F52F5-BB8E-4DC2-83F7-5FF5F4848608}"/>
    <cellStyle name="Totaal" xfId="2193" xr:uid="{54A942D0-D66F-4EE3-B0E1-32DD17A6AC1B}"/>
    <cellStyle name="Totaal 2" xfId="2194" xr:uid="{1DAE3918-A299-494E-8B6D-85CEB5E909A2}"/>
    <cellStyle name="Total" xfId="2195" xr:uid="{FB3C63A4-0E74-4506-BA58-DE15407AC725}"/>
    <cellStyle name="Total 2" xfId="2196" xr:uid="{8B698B64-1E92-4C74-93B1-15C07461C3AB}"/>
    <cellStyle name="Total 2 2" xfId="2389" xr:uid="{A406A20D-1E0E-4437-9ACC-3CCBD9883B44}"/>
    <cellStyle name="Total_Additional price" xfId="2197" xr:uid="{3B427AFB-CC28-452E-B300-F8A0BC402B9C}"/>
    <cellStyle name="Tytu?" xfId="2198" xr:uid="{1E920BB1-0AB8-4190-BC06-DEE0A512DF03}"/>
    <cellStyle name="Tytuł 2" xfId="2199" xr:uid="{463A2576-8D78-40E7-AB00-3559F66A45C1}"/>
    <cellStyle name="Tytuł 2 2" xfId="2200" xr:uid="{C6DCCFD3-0ED5-4B11-BB86-4BEA7E051F46}"/>
    <cellStyle name="Tytuł 2 3" xfId="2201" xr:uid="{42D08E76-DCBD-4E89-B13F-06AB2CC2A9B1}"/>
    <cellStyle name="Tytuł 2 4" xfId="2202" xr:uid="{E194701C-60F0-4B45-B871-1A0A54DFBCF7}"/>
    <cellStyle name="Tytuł 3" xfId="2203" xr:uid="{A4CA1955-4E54-423C-A085-7C1915A85DDC}"/>
    <cellStyle name="Tytuł 4" xfId="2204" xr:uid="{E286A39E-91C7-4150-8613-D2C370E27A0C}"/>
    <cellStyle name="Tytuł 4 2" xfId="2205" xr:uid="{1160E9DB-A256-4F45-A32C-CFE8E913EF85}"/>
    <cellStyle name="Überschrift" xfId="2206" xr:uid="{08BA285B-8A8E-4153-8B4C-74E7D1FD6718}"/>
    <cellStyle name="Überschrift 1" xfId="2207" xr:uid="{337AFFF4-DEA7-4BA2-8A20-FD713983BF6C}"/>
    <cellStyle name="Überschrift 2" xfId="2208" xr:uid="{BDF347D6-B5AC-4702-B33D-8F6EAA8166DE}"/>
    <cellStyle name="Überschrift 3" xfId="2209" xr:uid="{7ED62542-8B98-4C1F-B05F-6FAA4A8652DD}"/>
    <cellStyle name="Überschrift 3 2" xfId="2210" xr:uid="{AF1EB006-3B51-467C-BDF4-943A29E6B396}"/>
    <cellStyle name="Überschrift 4" xfId="2211" xr:uid="{565CFD13-6B37-415C-9F91-BCC573E50E75}"/>
    <cellStyle name="Überschrift_EL" xfId="2212" xr:uid="{00B7F23B-A6FA-42E6-B177-9E93A0D170FB}"/>
    <cellStyle name="Uitvoer" xfId="2213" xr:uid="{D3DC02A4-3C9C-49FE-9D1F-8C92F893D161}"/>
    <cellStyle name="Uitvoer 2" xfId="2214" xr:uid="{6588C86A-CE08-48F5-92B7-2ECFFB29A866}"/>
    <cellStyle name="Uwaga 2" xfId="2215" xr:uid="{D8444229-90A0-4163-8377-3BB23C4533EA}"/>
    <cellStyle name="Uwaga 2 2" xfId="2216" xr:uid="{9D5378B5-0D88-4A0C-96A8-025EC4669251}"/>
    <cellStyle name="Uwaga 2 2 2" xfId="2390" xr:uid="{FDC4C85A-EF6C-49CA-9E6B-016CABAEA1DD}"/>
    <cellStyle name="Uwaga 2 3" xfId="2217" xr:uid="{EBED7B50-9512-4005-977C-E1EF56283B61}"/>
    <cellStyle name="Uwaga 2 4" xfId="2218" xr:uid="{05F1B439-3540-48D4-9014-E5F10195F30B}"/>
    <cellStyle name="Uwaga 3" xfId="2219" xr:uid="{4789A56E-4146-48E6-BF58-7288901E0D68}"/>
    <cellStyle name="Uwaga 4" xfId="2220" xr:uid="{7938E3F5-5319-44AB-8078-D8C1ADABB716}"/>
    <cellStyle name="Verklarende tekst" xfId="2221" xr:uid="{9D327A32-6717-46F2-995C-EDDDC61D8359}"/>
    <cellStyle name="Verknüpfte Zelle" xfId="2222" xr:uid="{D69EFECB-433A-4FD1-9948-9FBA2BBA13C8}"/>
    <cellStyle name="Waarschuwingstekst" xfId="2223" xr:uid="{267EDC59-2C98-4806-892E-A41F8D7DF950}"/>
    <cellStyle name="Währung 2" xfId="2224" xr:uid="{81BC0704-209C-4637-8BB0-70297FD4A00D}"/>
    <cellStyle name="Währung 2 2" xfId="2225" xr:uid="{187862D7-A79C-4834-8846-5B9ED1BCBE55}"/>
    <cellStyle name="Währung 2 2 2" xfId="2226" xr:uid="{9F88D8AC-854D-4EE8-8F68-7D02B3C6192B}"/>
    <cellStyle name="Währung 2 2 2 2" xfId="2227" xr:uid="{8C287B4E-E017-4DBC-9231-3A8ECB848451}"/>
    <cellStyle name="Währung 2 2 2 2 2" xfId="3324" xr:uid="{083E364C-84DE-427D-BD81-EB51DDB07161}"/>
    <cellStyle name="Währung 2 2 2 3" xfId="3322" xr:uid="{558D7F25-0F12-4BBE-B33D-539FE20BA111}"/>
    <cellStyle name="Währung 2 2 3" xfId="2435" xr:uid="{7DE4B869-8BAB-4A63-8CB4-F71240A40BA0}"/>
    <cellStyle name="Währung 2 3" xfId="2228" xr:uid="{72DE7C9D-4F2C-4DDD-BFAF-74EB6F9CFFA2}"/>
    <cellStyle name="Währung 2 3 2" xfId="2229" xr:uid="{6380F786-7C8E-4A2B-BC7D-0FC2009B7E4F}"/>
    <cellStyle name="Währung 2 3 2 2" xfId="2230" xr:uid="{E4EF3CF9-2C7A-41BF-B943-279EF7BC8011}"/>
    <cellStyle name="Währung 2 3 2 2 2" xfId="3323" xr:uid="{DC90C53A-0137-4493-8A57-9F202536D304}"/>
    <cellStyle name="Währung 2 3 2 3" xfId="3321" xr:uid="{163CCF5A-93F6-444F-B047-1FFDCEDEEBB7}"/>
    <cellStyle name="Währung 2 3 3" xfId="2409" xr:uid="{46CABB2B-AAF2-47D9-81B8-B8FBB4085BF3}"/>
    <cellStyle name="Währung 2 4" xfId="2231" xr:uid="{C28F3B38-657F-4B14-8C30-BDAE9D5763BB}"/>
    <cellStyle name="Währung 2_IMPORT" xfId="2232" xr:uid="{07F9A13F-6E36-4E27-8055-6BD16FCA7976}"/>
    <cellStyle name="Warnender Text" xfId="2233" xr:uid="{07A0C5AB-B588-498E-B341-30E7177FE891}"/>
    <cellStyle name="Warning" xfId="2234" xr:uid="{BC1DCE45-AEBE-4B93-920D-D06E1C8FE647}"/>
    <cellStyle name="Warning 11" xfId="2235" xr:uid="{D9E62968-3867-42D8-A412-EB1955A378BD}"/>
    <cellStyle name="Warning Text" xfId="2236" xr:uid="{B05AB85B-4A35-419B-BB76-312FD4578CBA}"/>
    <cellStyle name="Warning Text 2" xfId="2237" xr:uid="{37086A52-982B-407F-98E3-50A862579BD7}"/>
    <cellStyle name="Warning Text_Additional price" xfId="2238" xr:uid="{CE8E3E50-B035-440A-A036-DE543B6BDED6}"/>
    <cellStyle name="Z?e" xfId="2239" xr:uid="{8370EA65-8101-4055-9D6B-52E0A914C9CC}"/>
    <cellStyle name="Zelle überprüfen" xfId="2240" xr:uid="{8DE637EC-2658-4F07-9DD7-74A07632F167}"/>
    <cellStyle name="Złe" xfId="2241" xr:uid="{2C1AC95D-9816-4890-9AC0-D9C6592D0684}"/>
    <cellStyle name="Złe 2" xfId="2242" xr:uid="{3E728DDF-A68E-40BC-B099-320B686DCF33}"/>
    <cellStyle name="Złe 3" xfId="2243" xr:uid="{1249BCA0-3529-427E-A960-FFF7E37270C5}"/>
    <cellStyle name="Złe 4" xfId="2244" xr:uid="{F9CA307C-D1FF-4603-8B57-19ED9DA6C39F}"/>
    <cellStyle name="Złe 5" xfId="2245" xr:uid="{240BA388-537C-4928-B689-9C9965B86608}"/>
    <cellStyle name="Złe_03ceny39" xfId="2479" xr:uid="{000C0168-0156-4E19-8806-725717969287}"/>
    <cellStyle name="Zły" xfId="2246" xr:uid="{23763D03-47E9-482C-BD7B-75024D5B6F2D}"/>
    <cellStyle name="Zły 2" xfId="2247" xr:uid="{0952D93F-287F-496C-93D0-E426F12C2166}"/>
    <cellStyle name="Zły 3" xfId="2248" xr:uid="{F958BAE3-669E-49FE-94C5-074E96BC2CDD}"/>
    <cellStyle name="Zły 4" xfId="2249" xr:uid="{9AE7941F-1F38-4FD5-94B6-02A715650B34}"/>
    <cellStyle name="Zły_IMPORT" xfId="3340" xr:uid="{4DC57D2D-C927-4D3C-8F92-1A6C037466F9}"/>
  </cellStyles>
  <dxfs count="2">
    <dxf>
      <fill>
        <patternFill>
          <bgColor theme="0" tint="-0.24994659260841701"/>
        </patternFill>
      </fill>
    </dxf>
    <dxf>
      <fill>
        <patternFill>
          <bgColor theme="0" tint="-4.9989318521683403E-2"/>
        </patternFill>
      </fill>
    </dxf>
  </dxfs>
  <tableStyles count="1" defaultTableStyle="TableStyleMedium2" defaultPivotStyle="PivotStyleLight16">
    <tableStyle name="Styl tabeli 1" pivot="0" count="2" xr9:uid="{9238B01E-806B-479F-A1B2-64567E679F76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pawel.woroniecki@hkl.eu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D6E67-758C-4423-A66B-840FC5754005}">
  <sheetPr codeName="Arkusz1"/>
  <dimension ref="A1:DE515"/>
  <sheetViews>
    <sheetView tabSelected="1" topLeftCell="M1" zoomScaleNormal="100" workbookViewId="0">
      <pane ySplit="1" topLeftCell="A8" activePane="bottomLeft" state="frozen"/>
      <selection pane="bottomLeft" activeCell="P29" sqref="P29"/>
    </sheetView>
  </sheetViews>
  <sheetFormatPr defaultRowHeight="15"/>
  <cols>
    <col min="1" max="1" bestFit="true" customWidth="true" width="16.85546875" collapsed="false"/>
    <col min="2" max="2" bestFit="true" customWidth="true" width="24.7109375" collapsed="false"/>
    <col min="3" max="3" bestFit="true" customWidth="true" width="19.140625" collapsed="false"/>
    <col min="4" max="4" bestFit="true" customWidth="true" width="27.0" collapsed="false"/>
    <col min="5" max="5" bestFit="true" customWidth="true" width="34.140625" collapsed="true"/>
    <col min="6" max="6" bestFit="true" customWidth="true" width="13.28515625" collapsed="false"/>
    <col min="7" max="7" bestFit="true" customWidth="true" width="35.140625" collapsed="false"/>
    <col min="8" max="8" customWidth="true" width="10.7109375" collapsed="false"/>
    <col min="9" max="9" customWidth="true" width="10.7109375" collapsed="true"/>
    <col min="10" max="10" customWidth="true" width="34.140625" collapsed="false"/>
    <col min="11" max="12" bestFit="true" customWidth="true" width="9.7109375" collapsed="false"/>
    <col min="13" max="13" customWidth="true" width="4.140625" collapsed="false"/>
    <col min="14" max="14" bestFit="true" customWidth="true" width="10.85546875" collapsed="false"/>
    <col min="15" max="15" bestFit="true" customWidth="true" width="16.85546875" collapsed="false"/>
    <col min="16" max="16" bestFit="true" customWidth="true" width="18.42578125" collapsed="false"/>
    <col min="17" max="17" bestFit="true" customWidth="true" width="71.28515625" collapsed="false"/>
    <col min="18" max="18" bestFit="true" customWidth="true" width="13.42578125" collapsed="true"/>
    <col min="19" max="19" customWidth="true" width="34.5703125" collapsed="true"/>
    <col min="20" max="20" bestFit="true" customWidth="true" width="21.5703125" collapsed="false"/>
    <col min="21" max="21" customWidth="true" width="39.42578125" collapsed="false"/>
    <col min="22" max="22" bestFit="true" customWidth="true" width="20.42578125" collapsed="false"/>
    <col min="23" max="23" customWidth="true" width="32.0" collapsed="false"/>
    <col min="24" max="24" bestFit="true" customWidth="true" width="6.28515625" collapsed="false"/>
    <col min="25" max="25" customWidth="true" width="2.140625" collapsed="false"/>
    <col min="26" max="26" bestFit="true" customWidth="true" width="20.5703125" collapsed="false"/>
    <col min="27" max="27" bestFit="true" customWidth="true" width="26.0" collapsed="false"/>
    <col min="28" max="28" bestFit="true" customWidth="true" width="9.5703125" collapsed="false"/>
    <col min="29" max="29" customWidth="true" width="3.28515625" collapsed="false"/>
    <col min="30" max="30" bestFit="true" customWidth="true" width="13.28515625" collapsed="false"/>
    <col min="31" max="31" bestFit="true" customWidth="true" width="18.140625" collapsed="false"/>
    <col min="32" max="32" bestFit="true" customWidth="true" width="10.42578125" collapsed="false"/>
    <col min="33" max="33" bestFit="true" customWidth="true" width="28.140625" collapsed="false"/>
    <col min="34" max="34" customWidth="true" width="2.7109375" collapsed="false"/>
    <col min="35" max="35" bestFit="true" customWidth="true" width="12.7109375" collapsed="false"/>
    <col min="36" max="36" bestFit="true" customWidth="true" width="17.7109375" collapsed="false"/>
    <col min="37" max="37" bestFit="true" customWidth="true" width="13.28515625" collapsed="false"/>
    <col min="38" max="38" bestFit="true" customWidth="true" width="28.140625" collapsed="false"/>
    <col min="39" max="39" bestFit="true" customWidth="true" width="10.0" collapsed="false"/>
    <col min="40" max="40" bestFit="true" customWidth="true" width="38.85546875" collapsed="false"/>
    <col min="41" max="41" bestFit="true" customWidth="true" width="4.42578125" collapsed="false"/>
    <col min="42" max="42" bestFit="true" customWidth="true" width="21.140625" collapsed="false"/>
    <col min="43" max="43" bestFit="true" customWidth="true" width="11.7109375" collapsed="false"/>
    <col min="44" max="44" bestFit="true" customWidth="true" width="31.28515625" collapsed="false"/>
    <col min="45" max="45" customWidth="true" width="2.7109375" collapsed="false"/>
    <col min="46" max="46" bestFit="true" customWidth="true" width="12.28515625" collapsed="false"/>
    <col min="47" max="47" bestFit="true" customWidth="true" width="17.28515625" collapsed="false"/>
    <col min="48" max="48" bestFit="true" customWidth="true" width="12.7109375" collapsed="false"/>
    <col min="49" max="49" customWidth="true" width="12.7109375" collapsed="false"/>
    <col min="50" max="50" customWidth="true" width="2.85546875" collapsed="false"/>
    <col min="51" max="51" bestFit="true" customWidth="true" width="12.85546875" collapsed="false"/>
    <col min="52" max="52" bestFit="true" customWidth="true" width="17.7109375" collapsed="false"/>
    <col min="53" max="53" bestFit="true" customWidth="true" width="12.0" collapsed="false"/>
    <col min="54" max="54" bestFit="true" customWidth="true" width="21.140625" collapsed="false"/>
    <col min="55" max="55" customWidth="true" width="3.0" collapsed="false"/>
    <col min="56" max="56" bestFit="true" customWidth="true" width="22.42578125" collapsed="false"/>
    <col min="57" max="57" bestFit="true" customWidth="true" width="27.42578125" collapsed="false"/>
    <col min="58" max="58" bestFit="true" customWidth="true" width="13.5703125" collapsed="false"/>
    <col min="59" max="59" bestFit="true" customWidth="true" width="18.42578125" collapsed="false"/>
    <col min="60" max="60" customWidth="true" width="3.42578125" collapsed="false"/>
    <col min="61" max="61" bestFit="true" customWidth="true" width="29.7109375" collapsed="false"/>
    <col min="62" max="62" bestFit="true" customWidth="true" width="31.42578125" collapsed="false"/>
    <col min="63" max="63" bestFit="true" customWidth="true" width="17.0" collapsed="false"/>
    <col min="64" max="64" bestFit="true" customWidth="true" width="31.28515625" collapsed="false"/>
    <col min="65" max="65" customWidth="true" width="3.140625" collapsed="false"/>
    <col min="66" max="66" bestFit="true" customWidth="true" width="14.42578125" collapsed="false"/>
    <col min="67" max="67" bestFit="true" customWidth="true" width="19.5703125" collapsed="false"/>
    <col min="68" max="68" bestFit="true" customWidth="true" width="10.42578125" collapsed="false"/>
    <col min="69" max="69" bestFit="true" customWidth="true" width="62.140625" collapsed="false"/>
    <col min="70" max="70" customWidth="true" width="3.0" collapsed="false"/>
    <col min="71" max="71" bestFit="true" customWidth="true" width="6.5703125" collapsed="false"/>
    <col min="72" max="72" bestFit="true" customWidth="true" width="11.42578125" collapsed="false"/>
    <col min="73" max="73" bestFit="true" customWidth="true" width="4.7109375" collapsed="false"/>
    <col min="74" max="74" bestFit="true" customWidth="true" width="16.42578125" collapsed="false"/>
    <col min="75" max="75" customWidth="true" width="3.0" collapsed="false"/>
    <col min="76" max="76" bestFit="true" customWidth="true" width="13.5703125" collapsed="false"/>
    <col min="77" max="77" bestFit="true" customWidth="true" width="25.5703125" collapsed="false"/>
    <col min="78" max="78" bestFit="true" customWidth="true" width="10.42578125" collapsed="false"/>
    <col min="79" max="79" bestFit="true" customWidth="true" width="57.42578125" collapsed="false"/>
    <col min="80" max="80" customWidth="true" width="3.140625" collapsed="false"/>
    <col min="81" max="81" bestFit="true" customWidth="true" width="30.0" collapsed="false"/>
    <col min="82" max="82" bestFit="true" customWidth="true" width="34.85546875" collapsed="false"/>
    <col min="83" max="83" bestFit="true" customWidth="true" width="9.42578125" collapsed="false"/>
    <col min="84" max="84" bestFit="true" customWidth="true" width="17.7109375" collapsed="false"/>
    <col min="85" max="85" customWidth="true" width="3.28515625" collapsed="false"/>
    <col min="86" max="86" bestFit="true" customWidth="true" width="19.0" collapsed="false"/>
    <col min="87" max="87" bestFit="true" customWidth="true" width="24.140625" collapsed="false"/>
    <col min="88" max="88" bestFit="true" customWidth="true" width="15.28515625" collapsed="false"/>
    <col min="89" max="89" bestFit="true" customWidth="true" width="20.140625" collapsed="false"/>
    <col min="90" max="90" customWidth="true" width="3.28515625" collapsed="false"/>
    <col min="91" max="91" bestFit="true" customWidth="true" width="13.140625" collapsed="false"/>
    <col min="92" max="92" bestFit="true" customWidth="true" width="22.42578125" collapsed="false"/>
    <col min="93" max="93" bestFit="true" customWidth="true" width="10.42578125" collapsed="false"/>
    <col min="94" max="94" bestFit="true" customWidth="true" width="15.42578125" collapsed="false"/>
    <col min="95" max="95" customWidth="true" width="3.0" collapsed="false"/>
    <col min="96" max="96" bestFit="true" customWidth="true" width="15.42578125" collapsed="false"/>
    <col min="97" max="97" bestFit="true" customWidth="true" width="20.42578125" collapsed="false"/>
    <col min="98" max="98" bestFit="true" customWidth="true" width="9.85546875" collapsed="false"/>
    <col min="99" max="99" bestFit="true" customWidth="true" width="14.85546875" collapsed="false"/>
    <col min="100" max="100" customWidth="true" width="3.42578125" collapsed="false"/>
    <col min="101" max="101" bestFit="true" customWidth="true" width="11.28515625" collapsed="false"/>
    <col min="102" max="102" bestFit="true" customWidth="true" width="20.5703125" collapsed="false"/>
    <col min="103" max="103" bestFit="true" customWidth="true" width="9.85546875" collapsed="false"/>
    <col min="104" max="104" bestFit="true" customWidth="true" width="14.85546875" collapsed="false"/>
    <col min="105" max="105" customWidth="true" width="3.140625" collapsed="false"/>
    <col min="106" max="106" bestFit="true" customWidth="true" width="19.0" collapsed="false"/>
    <col min="107" max="107" bestFit="true" customWidth="true" width="24.0" collapsed="false"/>
    <col min="108" max="108" bestFit="true" customWidth="true" width="10.0" collapsed="false"/>
    <col min="109" max="109" bestFit="true" customWidth="true" width="15.0" collapsed="false"/>
    <col min="110" max="110" customWidth="true" width="3.7109375" collapsed="false"/>
  </cols>
  <sheetData>
    <row r="1" spans="1:109" ht="15.75" thickBot="1">
      <c r="A1" s="57" t="s">
        <v>46</v>
      </c>
      <c r="B1" s="6"/>
      <c r="C1" s="59" t="s">
        <v>47</v>
      </c>
      <c r="D1" s="10"/>
      <c r="E1" s="60" t="s">
        <v>0</v>
      </c>
      <c r="F1" s="17" t="s">
        <v>24</v>
      </c>
      <c r="G1" s="17" t="s">
        <v>42</v>
      </c>
      <c r="H1" s="17" t="s">
        <v>25</v>
      </c>
      <c r="I1" s="17" t="s">
        <v>26</v>
      </c>
      <c r="J1" s="18" t="s">
        <v>80</v>
      </c>
      <c r="K1" s="18" t="s">
        <v>81</v>
      </c>
      <c r="L1" s="19" t="s">
        <v>82</v>
      </c>
      <c r="N1" s="63" t="s">
        <v>45</v>
      </c>
      <c r="O1" s="15"/>
      <c r="P1" s="65" t="s">
        <v>44</v>
      </c>
      <c r="Q1" s="14"/>
      <c r="R1" s="71" t="s">
        <v>112</v>
      </c>
      <c r="S1" s="20" t="b">
        <f>$X$2="#14#"</f>
        <v>0</v>
      </c>
      <c r="T1" s="71" t="s">
        <v>141</v>
      </c>
      <c r="U1" s="20" t="b">
        <f>$X$2="#15#"</f>
        <v>0</v>
      </c>
      <c r="V1" s="71" t="s">
        <v>142</v>
      </c>
      <c r="W1" s="20" t="b">
        <f>$X$2="#16#"</f>
        <v>1</v>
      </c>
      <c r="X1" s="16" t="s">
        <v>43</v>
      </c>
      <c r="Y1" s="1"/>
      <c r="Z1" s="12" t="str">
        <f>E3&amp;"-EFOR"</f>
        <v>KONFIGURACJA-EFOR</v>
      </c>
      <c r="AA1" s="12" t="str">
        <f>E3&amp;"_OPIS-EFOR"</f>
        <v>KONFIGURACJA_OPIS-EFOR</v>
      </c>
      <c r="AB1" s="12" t="s">
        <v>156</v>
      </c>
      <c r="AC1" s="12"/>
      <c r="AD1" s="12" t="s">
        <v>993</v>
      </c>
      <c r="AE1" s="12" t="s">
        <v>994</v>
      </c>
      <c r="AF1" s="12" t="s">
        <v>710</v>
      </c>
      <c r="AG1" s="12" t="s">
        <v>711</v>
      </c>
      <c r="AH1" s="35"/>
      <c r="AI1" s="12" t="s">
        <v>1029</v>
      </c>
      <c r="AJ1" s="12" t="s">
        <v>1030</v>
      </c>
      <c r="AK1" s="12" t="s">
        <v>712</v>
      </c>
      <c r="AL1" s="12" t="s">
        <v>713</v>
      </c>
      <c r="AM1" s="12" t="s">
        <v>876</v>
      </c>
      <c r="AN1" s="12" t="s">
        <v>877</v>
      </c>
      <c r="AO1" s="41" t="s">
        <v>119</v>
      </c>
      <c r="AP1" s="41" t="s">
        <v>729</v>
      </c>
      <c r="AQ1" s="41" t="s">
        <v>882</v>
      </c>
      <c r="AR1" s="41" t="s">
        <v>883</v>
      </c>
      <c r="AT1" s="34" t="s">
        <v>687</v>
      </c>
      <c r="AU1" s="34" t="s">
        <v>688</v>
      </c>
      <c r="AV1" s="34" t="s">
        <v>689</v>
      </c>
      <c r="AW1" s="34" t="s">
        <v>709</v>
      </c>
      <c r="AY1" s="32" t="s">
        <v>707</v>
      </c>
      <c r="AZ1" s="33" t="s">
        <v>708</v>
      </c>
      <c r="BA1" s="34" t="s">
        <v>709</v>
      </c>
      <c r="BB1" s="34" t="s">
        <v>884</v>
      </c>
      <c r="BD1" s="34" t="s">
        <v>878</v>
      </c>
      <c r="BE1" s="34" t="s">
        <v>879</v>
      </c>
      <c r="BF1" s="41" t="s">
        <v>131</v>
      </c>
      <c r="BG1" s="41" t="s">
        <v>828</v>
      </c>
      <c r="BH1" s="76"/>
      <c r="BI1" s="34" t="s">
        <v>1036</v>
      </c>
      <c r="BJ1" s="34" t="s">
        <v>1037</v>
      </c>
      <c r="BK1" s="41" t="s">
        <v>1034</v>
      </c>
      <c r="BL1" s="41" t="s">
        <v>1035</v>
      </c>
      <c r="BN1" s="34" t="s">
        <v>911</v>
      </c>
      <c r="BO1" s="34" t="s">
        <v>912</v>
      </c>
      <c r="BP1" s="41" t="s">
        <v>885</v>
      </c>
      <c r="BQ1" s="41" t="s">
        <v>886</v>
      </c>
      <c r="BS1" s="34" t="s">
        <v>880</v>
      </c>
      <c r="BT1" s="34" t="s">
        <v>881</v>
      </c>
      <c r="BU1" s="41" t="s">
        <v>122</v>
      </c>
      <c r="BV1" s="41" t="s">
        <v>730</v>
      </c>
      <c r="BX1" s="34" t="s">
        <v>914</v>
      </c>
      <c r="BY1" s="34" t="s">
        <v>915</v>
      </c>
      <c r="BZ1" s="41" t="s">
        <v>887</v>
      </c>
      <c r="CA1" s="41" t="s">
        <v>888</v>
      </c>
      <c r="CC1" s="34" t="s">
        <v>897</v>
      </c>
      <c r="CD1" s="34" t="s">
        <v>898</v>
      </c>
      <c r="CE1" s="41" t="s">
        <v>889</v>
      </c>
      <c r="CF1" s="41" t="s">
        <v>890</v>
      </c>
      <c r="CH1" s="34" t="s">
        <v>909</v>
      </c>
      <c r="CI1" s="34" t="s">
        <v>910</v>
      </c>
      <c r="CJ1" s="51" t="s">
        <v>894</v>
      </c>
      <c r="CK1" s="41" t="s">
        <v>895</v>
      </c>
      <c r="CM1" s="3" t="s">
        <v>922</v>
      </c>
      <c r="CN1" s="3" t="s">
        <v>926</v>
      </c>
      <c r="CO1" t="s">
        <v>930</v>
      </c>
      <c r="CP1" t="s">
        <v>934</v>
      </c>
      <c r="CR1" s="3" t="s">
        <v>923</v>
      </c>
      <c r="CS1" s="3" t="s">
        <v>927</v>
      </c>
      <c r="CT1" t="s">
        <v>931</v>
      </c>
      <c r="CU1" t="s">
        <v>935</v>
      </c>
      <c r="CW1" s="3" t="s">
        <v>924</v>
      </c>
      <c r="CX1" s="3" t="s">
        <v>928</v>
      </c>
      <c r="CY1" t="s">
        <v>932</v>
      </c>
      <c r="CZ1" t="s">
        <v>936</v>
      </c>
      <c r="DB1" s="3" t="s">
        <v>925</v>
      </c>
      <c r="DC1" s="3" t="s">
        <v>929</v>
      </c>
      <c r="DD1" t="s">
        <v>933</v>
      </c>
      <c r="DE1" t="s">
        <v>937</v>
      </c>
    </row>
    <row r="2" spans="1:109" ht="15.75" thickBot="1">
      <c r="A2" s="3" t="s">
        <v>27</v>
      </c>
      <c r="B2" s="4" t="s">
        <v>1063</v>
      </c>
      <c r="C2" s="3" t="s">
        <v>71</v>
      </c>
      <c r="D2" s="4" t="n">
        <v>14.0</v>
      </c>
      <c r="E2" s="3" t="s">
        <v>1</v>
      </c>
      <c r="F2" s="2" t="n">
        <v>1.0</v>
      </c>
      <c r="G2" s="2" t="s">
        <v>698</v>
      </c>
      <c r="H2" s="2" t="s">
        <v>698</v>
      </c>
      <c r="I2" s="2" t="s">
        <v>698</v>
      </c>
      <c r="J2" s="2" t="s">
        <v>1087</v>
      </c>
      <c r="K2" s="2" t="n">
        <v>1.0</v>
      </c>
      <c r="L2" s="4" t="n">
        <v>0.0</v>
      </c>
      <c r="N2" s="64" t="s">
        <v>108</v>
      </c>
      <c r="O2" s="25" t="str">
        <f>IF($B$11="Cozy","05",IF($B$11="HKL","04",IF($B$11="LuxanGmbH","03",IF($B$11="FENIX","02",IF($B$11="LuxanEwaKrawczyk","01","00")))))</f>
        <v>04</v>
      </c>
      <c r="P2" s="66" t="s">
        <v>66</v>
      </c>
      <c r="Q2" s="29" t="str">
        <f><![CDATA["EO/"&$B$10&"/"&D4&"/"&$B$6&"-"&$D$7]]></f>
        <v>EO/161/17/3947 - 16791 Wolfheze-Positie 31</v>
      </c>
      <c r="R2" s="74" t="s">
        <v>126</v>
      </c>
      <c r="S2" s="4" t="str">
        <f>IF($X$2="#14#",IF($F$4="&lt;NULL&gt;","-",VLOOKUP($F$4,$AD:$AF,3,FALSE)),"-")</f>
        <v>-</v>
      </c>
      <c r="T2" s="74" t="s">
        <v>143</v>
      </c>
      <c r="U2" s="4" t="str">
        <f>IF($X$2="#15#",IF($F$2="&lt;NULL&gt;","-",$F$2),"-")</f>
        <v>-</v>
      </c>
      <c r="V2" s="74" t="s">
        <v>126</v>
      </c>
      <c r="W2" s="4" t="str">
        <f>IF($X$2="#16#",IF($F$4="&lt;NULL&gt;","-",VLOOKUP($F$4,$AD:$AF,3,FALSE)),"-")</f>
        <v>ST</v>
      </c>
      <c r="X2" s="31" t="str">
        <f>VLOOKUP($F$3,$Z$1:$AB$6,3,FALSE)</f>
        <v>#16#</v>
      </c>
      <c r="Z2" s="13" t="s">
        <v>690</v>
      </c>
      <c r="AA2" s="13" t="s">
        <v>691</v>
      </c>
      <c r="AB2" s="13" t="s">
        <v>695</v>
      </c>
      <c r="AC2" s="13"/>
      <c r="AD2" s="13" t="s">
        <v>693</v>
      </c>
      <c r="AE2" s="13" t="s">
        <v>989</v>
      </c>
      <c r="AF2" s="13" t="s">
        <v>827</v>
      </c>
      <c r="AG2" s="13" t="s">
        <v>777</v>
      </c>
      <c r="AH2" s="36"/>
      <c r="AI2" s="75" t="s">
        <v>995</v>
      </c>
      <c r="AJ2" s="75" t="s">
        <v>996</v>
      </c>
      <c r="AK2" s="40" t="s">
        <v>796</v>
      </c>
      <c r="AL2" s="38" t="s">
        <v>875</v>
      </c>
      <c r="AM2" s="38">
        <v>1</v>
      </c>
      <c r="AN2" s="38" t="s">
        <v>785</v>
      </c>
      <c r="AO2" s="38" t="s">
        <v>716</v>
      </c>
      <c r="AP2" s="38" t="s">
        <v>766</v>
      </c>
      <c r="AQ2" s="38" t="s">
        <v>716</v>
      </c>
      <c r="AR2" s="38" t="s">
        <v>731</v>
      </c>
      <c r="AT2" t="s">
        <v>698</v>
      </c>
      <c r="AU2" s="34" t="s">
        <v>140</v>
      </c>
      <c r="AV2" s="34" t="s">
        <v>140</v>
      </c>
      <c r="AW2" s="34" t="s">
        <v>140</v>
      </c>
      <c r="AY2" t="s">
        <v>699</v>
      </c>
      <c r="AZ2" t="s">
        <v>700</v>
      </c>
      <c r="BA2" s="42">
        <v>50</v>
      </c>
      <c r="BD2" t="s">
        <v>903</v>
      </c>
      <c r="BE2" t="s">
        <v>905</v>
      </c>
      <c r="BF2" s="40" t="s">
        <v>715</v>
      </c>
      <c r="BG2" s="38" t="s">
        <v>779</v>
      </c>
      <c r="BH2" s="38"/>
      <c r="BI2" t="s">
        <v>1038</v>
      </c>
      <c r="BJ2" t="s">
        <v>1039</v>
      </c>
      <c r="BN2" t="s">
        <v>698</v>
      </c>
      <c r="BP2" s="38" t="s">
        <v>140</v>
      </c>
      <c r="BQ2" s="38" t="s">
        <v>781</v>
      </c>
      <c r="BU2" s="38" t="s">
        <v>716</v>
      </c>
      <c r="BV2" s="38" t="s">
        <v>771</v>
      </c>
      <c r="BX2" t="s">
        <v>916</v>
      </c>
      <c r="BY2" s="52" t="s">
        <v>917</v>
      </c>
      <c r="BZ2" s="38" t="s">
        <v>792</v>
      </c>
      <c r="CA2" s="38" t="s">
        <v>794</v>
      </c>
      <c r="CC2" t="s">
        <v>698</v>
      </c>
      <c r="CD2" t="s">
        <v>140</v>
      </c>
      <c r="CE2" s="38" t="s">
        <v>829</v>
      </c>
      <c r="CF2" s="38" t="s">
        <v>830</v>
      </c>
      <c r="CH2" t="s">
        <v>693</v>
      </c>
      <c r="CI2" t="s">
        <v>908</v>
      </c>
      <c r="CJ2" s="50" t="s">
        <v>891</v>
      </c>
      <c r="CK2" s="38"/>
      <c r="CM2" s="53" t="s">
        <v>938</v>
      </c>
      <c r="CN2" s="53" t="s">
        <v>939</v>
      </c>
      <c r="CO2" t="s">
        <v>938</v>
      </c>
      <c r="CR2" s="54" t="s">
        <v>698</v>
      </c>
      <c r="CT2" t="s">
        <v>969</v>
      </c>
      <c r="CW2" s="53" t="s">
        <v>955</v>
      </c>
      <c r="CX2" s="53" t="s">
        <v>956</v>
      </c>
      <c r="CY2" t="s">
        <v>955</v>
      </c>
      <c r="DB2" s="55" t="s">
        <v>966</v>
      </c>
      <c r="DC2" s="55" t="s">
        <v>967</v>
      </c>
      <c r="DD2" t="s">
        <v>966</v>
      </c>
    </row>
    <row r="3" spans="1:109" ht="15.75" thickBot="1">
      <c r="A3" s="3" t="s">
        <v>28</v>
      </c>
      <c r="B3" s="4" t="s">
        <v>1064</v>
      </c>
      <c r="C3" s="3" t="s">
        <v>30</v>
      </c>
      <c r="D3" s="4" t="s">
        <v>698</v>
      </c>
      <c r="E3" s="3" t="s">
        <v>146</v>
      </c>
      <c r="F3" s="2" t="s">
        <v>693</v>
      </c>
      <c r="G3" s="2" t="s">
        <v>1092</v>
      </c>
      <c r="H3" s="2" t="s">
        <v>698</v>
      </c>
      <c r="I3" s="2" t="s">
        <v>698</v>
      </c>
      <c r="J3" s="2" t="s">
        <v>1093</v>
      </c>
      <c r="K3" s="2" t="n">
        <v>1.0</v>
      </c>
      <c r="L3" s="4" t="n">
        <v>1.0</v>
      </c>
      <c r="N3" s="64" t="s">
        <v>68</v>
      </c>
      <c r="O3" s="25" t="str">
        <f>B11</f>
        <v>HKL</v>
      </c>
      <c r="P3" s="3" t="s">
        <v>57</v>
      </c>
      <c r="Q3" s="4" t="str">
        <f>$B$15</f>
        <v>Maxsol</v>
      </c>
      <c r="R3" s="72" t="s">
        <v>130</v>
      </c>
      <c r="S3" s="4" t="str">
        <f>IF($X$2="#14#",IF($F$5="&lt;NULL&gt;","-",VLOOKUP($F$5,$AI:$AK,3,FALSE)),"-")</f>
        <v>-</v>
      </c>
      <c r="T3" s="72" t="s">
        <v>129</v>
      </c>
      <c r="U3" s="4" t="str">
        <f>IF($X$2="#15#",IF($F$26="&lt;NULL&gt;","-",VLOOKUP($F$26,$BX:$BZ,3,FALSE)),"-")</f>
        <v>-</v>
      </c>
      <c r="V3" s="72" t="s">
        <v>130</v>
      </c>
      <c r="W3" s="4" t="str">
        <f>IF($X$2="#16#",IF($F$5="&lt;NULL&gt;","-",VLOOKUP($F$5,$AI:$AK,3,FALSE)),"-")</f>
        <v>00</v>
      </c>
      <c r="Z3" s="13" t="s">
        <v>117</v>
      </c>
      <c r="AA3" s="13" t="s">
        <v>692</v>
      </c>
      <c r="AB3" s="13" t="s">
        <v>696</v>
      </c>
      <c r="AC3" s="13"/>
      <c r="AD3" s="13" t="s">
        <v>990</v>
      </c>
      <c r="AE3" s="13" t="s">
        <v>991</v>
      </c>
      <c r="AF3" s="13" t="s">
        <v>717</v>
      </c>
      <c r="AG3" s="13" t="s">
        <v>778</v>
      </c>
      <c r="AH3" s="36"/>
      <c r="AI3" s="75" t="s">
        <v>997</v>
      </c>
      <c r="AJ3" s="75" t="s">
        <v>998</v>
      </c>
      <c r="AK3" s="40" t="s">
        <v>796</v>
      </c>
      <c r="AL3" s="38" t="s">
        <v>875</v>
      </c>
      <c r="AM3" s="38">
        <v>1</v>
      </c>
      <c r="AN3" s="38" t="s">
        <v>785</v>
      </c>
      <c r="AO3" s="38" t="s">
        <v>718</v>
      </c>
      <c r="AP3" s="38" t="s">
        <v>767</v>
      </c>
      <c r="AQ3" s="38" t="s">
        <v>718</v>
      </c>
      <c r="AR3" s="38" t="s">
        <v>765</v>
      </c>
      <c r="AT3" t="s">
        <v>169</v>
      </c>
      <c r="AU3" t="s">
        <v>170</v>
      </c>
      <c r="AV3">
        <v>1120</v>
      </c>
      <c r="AW3">
        <v>127</v>
      </c>
      <c r="AY3" t="s">
        <v>701</v>
      </c>
      <c r="AZ3" t="s">
        <v>702</v>
      </c>
      <c r="BA3">
        <v>89</v>
      </c>
      <c r="BB3" s="38" t="s">
        <v>769</v>
      </c>
      <c r="BD3" t="s">
        <v>693</v>
      </c>
      <c r="BE3" t="s">
        <v>1032</v>
      </c>
      <c r="BF3" s="38">
        <v>7010</v>
      </c>
      <c r="BG3" s="38" t="s">
        <v>826</v>
      </c>
      <c r="BH3" s="38"/>
      <c r="BI3" t="s">
        <v>1040</v>
      </c>
      <c r="BJ3" t="s">
        <v>1041</v>
      </c>
      <c r="BN3" t="s">
        <v>718</v>
      </c>
      <c r="BO3" t="s">
        <v>902</v>
      </c>
      <c r="BP3" s="38">
        <v>1</v>
      </c>
      <c r="BQ3" s="38" t="s">
        <v>783</v>
      </c>
      <c r="BU3" s="38" t="s">
        <v>718</v>
      </c>
      <c r="BV3" s="38" t="s">
        <v>772</v>
      </c>
      <c r="BZ3" s="38" t="s">
        <v>793</v>
      </c>
      <c r="CA3" s="38" t="s">
        <v>795</v>
      </c>
      <c r="CC3" t="s">
        <v>899</v>
      </c>
      <c r="CD3" t="s">
        <v>900</v>
      </c>
      <c r="CE3" s="38" t="s">
        <v>720</v>
      </c>
      <c r="CF3" s="38" t="s">
        <v>831</v>
      </c>
      <c r="CH3" t="s">
        <v>903</v>
      </c>
      <c r="CI3" t="s">
        <v>905</v>
      </c>
      <c r="CJ3" s="50" t="s">
        <v>893</v>
      </c>
      <c r="CK3" s="38"/>
      <c r="CM3" s="53" t="s">
        <v>940</v>
      </c>
      <c r="CN3" s="53" t="s">
        <v>941</v>
      </c>
      <c r="CO3" t="s">
        <v>940</v>
      </c>
      <c r="CW3" s="53" t="s">
        <v>957</v>
      </c>
      <c r="CX3" s="53" t="s">
        <v>958</v>
      </c>
      <c r="CY3" t="s">
        <v>957</v>
      </c>
      <c r="DB3" s="54" t="s">
        <v>698</v>
      </c>
      <c r="DD3" t="s">
        <v>968</v>
      </c>
    </row>
    <row r="4" spans="1:109">
      <c r="A4" s="3" t="s">
        <v>29</v>
      </c>
      <c r="B4" s="21" t="s">
        <v>1065</v>
      </c>
      <c r="C4" s="3" t="s">
        <v>76</v>
      </c>
      <c r="D4" s="4" t="n">
        <v>17.0</v>
      </c>
      <c r="E4" s="3" t="s">
        <v>147</v>
      </c>
      <c r="F4" s="2" t="s">
        <v>693</v>
      </c>
      <c r="G4" s="2" t="s">
        <v>989</v>
      </c>
      <c r="H4" s="2" t="s">
        <v>698</v>
      </c>
      <c r="I4" s="2" t="s">
        <v>698</v>
      </c>
      <c r="J4" s="2" t="s">
        <v>1106</v>
      </c>
      <c r="K4" s="2" t="n">
        <v>1.0</v>
      </c>
      <c r="L4" s="4" t="n">
        <v>1.0</v>
      </c>
      <c r="N4" s="64" t="s">
        <v>109</v>
      </c>
      <c r="O4" s="25" t="str">
        <f>B15</f>
        <v>Maxsol</v>
      </c>
      <c r="P4" s="3" t="s">
        <v>58</v>
      </c>
      <c r="Q4" s="4"/>
      <c r="R4" s="72" t="s">
        <v>124</v>
      </c>
      <c r="S4" s="4" t="str">
        <f>IF($X$2="#14#",IF($F$5="&lt;NULL&gt;","-",VLOOKUP($F$5,$AI:$AM,5,FALSE)),"-")</f>
        <v>-</v>
      </c>
      <c r="T4" s="72" t="s">
        <v>137</v>
      </c>
      <c r="U4" s="4" t="str">
        <f>IF($X$2="#15#",IF($U$3="Obc1",($U$2*2)+10,"-"),"-")</f>
        <v>-</v>
      </c>
      <c r="V4" s="72" t="s">
        <v>124</v>
      </c>
      <c r="W4" s="4" t="n">
        <f>IF($X$2="#16#",IF($F$5="&lt;NULL&gt;","-",VLOOKUP($F$5,$AI:$AM,5,FALSE)),"-")</f>
        <v>1.0</v>
      </c>
      <c r="Z4" s="22" t="s">
        <v>693</v>
      </c>
      <c r="AA4" s="22" t="s">
        <v>694</v>
      </c>
      <c r="AB4" s="13" t="s">
        <v>697</v>
      </c>
      <c r="AC4" s="13"/>
      <c r="AD4" s="13" t="s">
        <v>139</v>
      </c>
      <c r="AE4" s="13" t="s">
        <v>992</v>
      </c>
      <c r="AF4" s="22" t="s">
        <v>139</v>
      </c>
      <c r="AG4" s="22" t="s">
        <v>775</v>
      </c>
      <c r="AH4" s="37"/>
      <c r="AI4" s="75" t="s">
        <v>999</v>
      </c>
      <c r="AJ4" s="75" t="s">
        <v>996</v>
      </c>
      <c r="AK4" s="40" t="s">
        <v>796</v>
      </c>
      <c r="AL4" s="38" t="s">
        <v>875</v>
      </c>
      <c r="AM4" s="38">
        <v>2</v>
      </c>
      <c r="AN4" s="38" t="s">
        <v>786</v>
      </c>
      <c r="AO4" s="38" t="s">
        <v>716</v>
      </c>
      <c r="AP4" s="38" t="s">
        <v>766</v>
      </c>
      <c r="AQ4" s="38" t="s">
        <v>718</v>
      </c>
      <c r="AR4" s="38" t="s">
        <v>765</v>
      </c>
      <c r="AT4" t="s">
        <v>171</v>
      </c>
      <c r="AU4" t="s">
        <v>172</v>
      </c>
      <c r="AV4">
        <v>1138</v>
      </c>
      <c r="AW4">
        <v>127</v>
      </c>
      <c r="AY4" t="s">
        <v>703</v>
      </c>
      <c r="AZ4" t="s">
        <v>704</v>
      </c>
      <c r="BA4">
        <v>127</v>
      </c>
      <c r="BB4" s="38" t="s">
        <v>769</v>
      </c>
      <c r="BD4" t="s">
        <v>913</v>
      </c>
      <c r="BF4" s="38">
        <v>4950</v>
      </c>
      <c r="BG4" s="38"/>
      <c r="BH4" s="38"/>
      <c r="BI4" t="s">
        <v>1042</v>
      </c>
      <c r="BJ4" t="s">
        <v>1043</v>
      </c>
      <c r="BN4" t="s">
        <v>913</v>
      </c>
      <c r="BP4" s="43">
        <v>2</v>
      </c>
      <c r="BQ4" s="44" t="s">
        <v>845</v>
      </c>
      <c r="BU4" s="38" t="s">
        <v>140</v>
      </c>
      <c r="BV4" s="38" t="s">
        <v>770</v>
      </c>
      <c r="BZ4" s="38" t="s">
        <v>820</v>
      </c>
      <c r="CA4" s="38" t="s">
        <v>819</v>
      </c>
      <c r="CC4" t="s">
        <v>901</v>
      </c>
      <c r="CD4" t="s">
        <v>900</v>
      </c>
      <c r="CE4" s="38" t="s">
        <v>829</v>
      </c>
      <c r="CF4" s="38" t="s">
        <v>830</v>
      </c>
      <c r="CH4" t="s">
        <v>906</v>
      </c>
      <c r="CI4" t="s">
        <v>907</v>
      </c>
      <c r="CJ4" s="50" t="s">
        <v>892</v>
      </c>
      <c r="CK4" s="38"/>
      <c r="CM4" s="53" t="s">
        <v>942</v>
      </c>
      <c r="CN4" s="53" t="s">
        <v>943</v>
      </c>
      <c r="CO4" t="s">
        <v>942</v>
      </c>
      <c r="CW4" s="53" t="s">
        <v>959</v>
      </c>
      <c r="CX4" s="53" t="s">
        <v>960</v>
      </c>
      <c r="CY4" t="s">
        <v>959</v>
      </c>
    </row>
    <row r="5" spans="1:109">
      <c r="A5" s="3" t="s">
        <v>30</v>
      </c>
      <c r="B5" s="4" t="s">
        <v>698</v>
      </c>
      <c r="C5" s="3" t="s">
        <v>77</v>
      </c>
      <c r="D5" s="4" t="n">
        <v>2901.0</v>
      </c>
      <c r="E5" s="3" t="s">
        <v>2</v>
      </c>
      <c r="F5" s="2" t="s">
        <v>997</v>
      </c>
      <c r="G5" s="2" t="s">
        <v>1097</v>
      </c>
      <c r="H5" s="2" t="s">
        <v>698</v>
      </c>
      <c r="I5" s="2" t="s">
        <v>698</v>
      </c>
      <c r="J5" s="2" t="s">
        <v>2</v>
      </c>
      <c r="K5" s="2" t="n">
        <v>1.0</v>
      </c>
      <c r="L5" s="4" t="n">
        <v>1.0</v>
      </c>
      <c r="N5" s="3" t="s">
        <v>67</v>
      </c>
      <c r="O5" s="4" t="str">
        <f>B15&amp;"-"&amp;B10</f>
        <v>Maxsol-161</v>
      </c>
      <c r="P5" s="3" t="s">
        <v>59</v>
      </c>
      <c r="Q5" s="4"/>
      <c r="R5" s="72" t="s">
        <v>128</v>
      </c>
      <c r="S5" s="4" t="str">
        <f>IF($X$2="#14#",IF($F$2="&lt;NULL&gt;","-","DM"),"-")</f>
        <v>-</v>
      </c>
      <c r="T5" s="72" t="s">
        <v>138</v>
      </c>
      <c r="U5" s="4" t="str">
        <f>IF($X$2="#15#",IF($F$27="&lt;NULL&gt;","-",VLOOKUP($F$27,$CH:$CJ,3,FALSE)),"-")</f>
        <v>-</v>
      </c>
      <c r="V5" s="72" t="s">
        <v>128</v>
      </c>
      <c r="W5" s="4" t="str">
        <f>IF($X$2="#16#",IF($F$1="&lt;NULL&gt;","-","DM"),"-")</f>
        <v>DM</v>
      </c>
      <c r="Z5" s="23" t="s">
        <v>698</v>
      </c>
      <c r="AA5" s="24" t="s">
        <v>140</v>
      </c>
      <c r="AB5" s="24" t="s">
        <v>140</v>
      </c>
      <c r="AC5" s="24"/>
      <c r="AD5" s="24"/>
      <c r="AE5" s="24"/>
      <c r="AF5" s="38" t="s">
        <v>721</v>
      </c>
      <c r="AG5" s="38" t="s">
        <v>773</v>
      </c>
      <c r="AH5" s="37"/>
      <c r="AI5" s="75" t="s">
        <v>1000</v>
      </c>
      <c r="AJ5" s="75" t="s">
        <v>998</v>
      </c>
      <c r="AK5" s="40" t="s">
        <v>796</v>
      </c>
      <c r="AL5" s="38" t="s">
        <v>875</v>
      </c>
      <c r="AM5" s="38">
        <v>2</v>
      </c>
      <c r="AN5" s="38" t="s">
        <v>786</v>
      </c>
      <c r="AO5" s="38" t="s">
        <v>718</v>
      </c>
      <c r="AP5" s="38" t="s">
        <v>767</v>
      </c>
      <c r="AQ5" s="38" t="s">
        <v>716</v>
      </c>
      <c r="AR5" s="38" t="s">
        <v>731</v>
      </c>
      <c r="AT5" t="s">
        <v>173</v>
      </c>
      <c r="AU5" t="s">
        <v>172</v>
      </c>
      <c r="AV5">
        <v>1144</v>
      </c>
      <c r="AW5">
        <v>127</v>
      </c>
      <c r="AY5" t="s">
        <v>705</v>
      </c>
      <c r="AZ5" t="s">
        <v>706</v>
      </c>
      <c r="BA5">
        <v>250</v>
      </c>
      <c r="BB5" s="38" t="s">
        <v>769</v>
      </c>
      <c r="BD5" t="s">
        <v>116</v>
      </c>
      <c r="BE5" t="s">
        <v>908</v>
      </c>
      <c r="BF5" s="38">
        <v>1858</v>
      </c>
      <c r="BG5" s="38" t="s">
        <v>780</v>
      </c>
      <c r="BH5" s="38"/>
      <c r="BI5" t="s">
        <v>1044</v>
      </c>
      <c r="BJ5" t="s">
        <v>1045</v>
      </c>
      <c r="BK5" t="s">
        <v>1047</v>
      </c>
      <c r="BL5" t="s">
        <v>1046</v>
      </c>
      <c r="BN5" t="s">
        <v>913</v>
      </c>
      <c r="BP5" s="45">
        <v>3</v>
      </c>
      <c r="BQ5" s="46" t="s">
        <v>846</v>
      </c>
      <c r="BZ5" s="38" t="s">
        <v>821</v>
      </c>
      <c r="CA5" s="49" t="s">
        <v>822</v>
      </c>
      <c r="CM5" s="53" t="s">
        <v>944</v>
      </c>
      <c r="CN5" s="53" t="s">
        <v>945</v>
      </c>
      <c r="CO5" t="s">
        <v>944</v>
      </c>
      <c r="CW5" s="53" t="s">
        <v>961</v>
      </c>
      <c r="CX5" s="53" t="s">
        <v>962</v>
      </c>
      <c r="CY5" t="s">
        <v>961</v>
      </c>
    </row>
    <row r="6" spans="1:109" ht="15.75" thickBot="1">
      <c r="A6" s="3" t="s">
        <v>31</v>
      </c>
      <c r="B6" s="4" t="s">
        <v>1066</v>
      </c>
      <c r="C6" s="3" t="s">
        <v>78</v>
      </c>
      <c r="D6" s="4" t="s">
        <v>1076</v>
      </c>
      <c r="E6" s="3" t="s">
        <v>148</v>
      </c>
      <c r="F6" s="2" t="s">
        <v>903</v>
      </c>
      <c r="G6" s="2" t="s">
        <v>1089</v>
      </c>
      <c r="H6" s="2" t="s">
        <v>698</v>
      </c>
      <c r="I6" s="2" t="s">
        <v>698</v>
      </c>
      <c r="J6" s="2" t="s">
        <v>1090</v>
      </c>
      <c r="K6" s="2" t="n">
        <v>1.0</v>
      </c>
      <c r="L6" s="4" t="n">
        <v>1.0</v>
      </c>
      <c r="N6" s="58" t="s">
        <v>61</v>
      </c>
      <c r="O6" s="5" t="str">
        <f>$B$6</f>
        <v>3947 - 16791 Wolfheze</v>
      </c>
      <c r="P6" s="3" t="s">
        <v>60</v>
      </c>
      <c r="Q6" s="4" t="str">
        <f>B11</f>
        <v>HKL</v>
      </c>
      <c r="R6" s="72" t="s">
        <v>115</v>
      </c>
      <c r="S6" s="4" t="str">
        <f>IF($X$2="#14#",IF($F$7="&lt;NULL&gt;","-",VLOOKUP($F$7,$AT:$AV,3,FALSE)),"-")</f>
        <v>-</v>
      </c>
      <c r="T6" s="72" t="s">
        <v>115</v>
      </c>
      <c r="U6" s="4" t="str">
        <f>IF($X$2="#15#",IF($F$7="&lt;NULL&gt;","-",VLOOKUP($F$7,$AT:$AV,3,FALSE)),"-")</f>
        <v>-</v>
      </c>
      <c r="V6" s="72" t="s">
        <v>136</v>
      </c>
      <c r="W6" s="4" t="n">
        <f>IF($X$2="#16#",IF(OR($W$4=1,$W$4=2),ROUNDUP(((($W$8*10)-10-$W$12)/IF($W$12=127,114.7,IF($W$12=89,79.2,0))),0)+1,IF((((ROUNDUP(((($W$8*10)-10-$W$12)/IF($W$12=127,114.7,IF($W$12=89,79.2,0))),0)+1)/2)-INT((ROUNDUP(((($W$8*10)-10-$W$12)/IF($W$12=127,114.7,IF($W$12=89,79.2,0))),0)+1)/2))*2=0,ROUNDUP(((($W$8*10)-10-$W$12)/IF($W$12=127,114.7,IF($W$12=89,79.2,0))),0)+1,ROUNDUP(((($W$8*10)-10-$W$12)/IF($W$12=127,114.7,IF($W$12=89,79.2,0))),0)+2)),"-")</f>
        <v>17.0</v>
      </c>
      <c r="AF6" s="38" t="s">
        <v>722</v>
      </c>
      <c r="AG6" s="38" t="s">
        <v>776</v>
      </c>
      <c r="AI6" s="75" t="s">
        <v>1001</v>
      </c>
      <c r="AJ6" s="75" t="s">
        <v>996</v>
      </c>
      <c r="AK6" s="40" t="s">
        <v>796</v>
      </c>
      <c r="AL6" s="38" t="s">
        <v>875</v>
      </c>
      <c r="AM6" s="38">
        <v>3</v>
      </c>
      <c r="AN6" s="38" t="s">
        <v>789</v>
      </c>
      <c r="AO6" s="38" t="s">
        <v>719</v>
      </c>
      <c r="AP6" s="38" t="s">
        <v>791</v>
      </c>
      <c r="AQ6" s="38" t="s">
        <v>716</v>
      </c>
      <c r="AR6" s="38" t="s">
        <v>731</v>
      </c>
      <c r="AT6" t="s">
        <v>174</v>
      </c>
      <c r="AU6" t="s">
        <v>172</v>
      </c>
      <c r="AV6">
        <v>1145</v>
      </c>
      <c r="AW6">
        <v>127</v>
      </c>
      <c r="AY6" t="s">
        <v>698</v>
      </c>
      <c r="AZ6" t="s">
        <v>140</v>
      </c>
      <c r="BA6" t="s">
        <v>140</v>
      </c>
      <c r="BD6" t="s">
        <v>913</v>
      </c>
      <c r="BF6" s="38">
        <v>4806</v>
      </c>
      <c r="BG6" s="38"/>
      <c r="BH6" s="38"/>
      <c r="BI6" s="38"/>
      <c r="BJ6" s="38"/>
      <c r="BK6" s="38" t="s">
        <v>732</v>
      </c>
      <c r="BL6" s="38" t="s">
        <v>748</v>
      </c>
      <c r="BN6" t="s">
        <v>913</v>
      </c>
      <c r="BP6" s="47">
        <v>4</v>
      </c>
      <c r="BQ6" s="48" t="s">
        <v>847</v>
      </c>
      <c r="BS6" t="s">
        <v>1048</v>
      </c>
      <c r="BZ6" s="38" t="s">
        <v>821</v>
      </c>
      <c r="CA6" s="49" t="s">
        <v>823</v>
      </c>
      <c r="CM6" s="53" t="s">
        <v>946</v>
      </c>
      <c r="CN6" s="53" t="s">
        <v>947</v>
      </c>
      <c r="CO6" t="s">
        <v>946</v>
      </c>
      <c r="CW6" s="53" t="s">
        <v>963</v>
      </c>
      <c r="CX6" s="53" t="s">
        <v>964</v>
      </c>
      <c r="CY6" t="s">
        <v>963</v>
      </c>
    </row>
    <row r="7" spans="1:109">
      <c r="A7" s="3" t="s">
        <v>32</v>
      </c>
      <c r="B7" s="4" t="s">
        <v>1067</v>
      </c>
      <c r="C7" s="3" t="s">
        <v>31</v>
      </c>
      <c r="D7" s="4" t="s">
        <v>1152</v>
      </c>
      <c r="E7" s="3" t="s">
        <v>3</v>
      </c>
      <c r="F7" s="2" t="s">
        <v>698</v>
      </c>
      <c r="G7" s="2" t="s">
        <v>698</v>
      </c>
      <c r="H7" s="2" t="s">
        <v>698</v>
      </c>
      <c r="I7" s="2" t="s">
        <v>698</v>
      </c>
      <c r="J7" s="2" t="s">
        <v>1091</v>
      </c>
      <c r="K7" s="2" t="n">
        <v>0.0</v>
      </c>
      <c r="L7" s="4" t="n">
        <v>1.0</v>
      </c>
      <c r="P7" s="3" t="s">
        <v>48</v>
      </c>
      <c r="Q7" s="4" t="str">
        <f>$B$15</f>
        <v>Maxsol</v>
      </c>
      <c r="R7" s="72" t="s">
        <v>135</v>
      </c>
      <c r="S7" s="4" t="str">
        <f>IF($X$2="#14#",IF(OR($H$7="",$H$7="&lt;NULL&gt;"),"-",$H$7),"-")</f>
        <v>-</v>
      </c>
      <c r="T7" s="72" t="s">
        <v>135</v>
      </c>
      <c r="U7" s="4" t="str">
        <f>IF($X$2="#15#",IF(OR($H$7="",$H$7="&lt;NULL&gt;"),"-",$H$7),"-")</f>
        <v>-</v>
      </c>
      <c r="V7" s="72" t="s">
        <v>131</v>
      </c>
      <c r="W7" s="4" t="str">
        <f>IF($X$2="#16#",IF($F$6="&lt;NULL&gt;","-",VLOOKUP($F$6,$BD:$BF,3,FALSE)),"-")</f>
        <v>0204</v>
      </c>
      <c r="AF7" s="38" t="s">
        <v>774</v>
      </c>
      <c r="AG7" s="38" t="s">
        <v>774</v>
      </c>
      <c r="AI7" s="75" t="s">
        <v>1002</v>
      </c>
      <c r="AJ7" s="75" t="s">
        <v>998</v>
      </c>
      <c r="AK7" s="40" t="s">
        <v>796</v>
      </c>
      <c r="AL7" s="38" t="s">
        <v>875</v>
      </c>
      <c r="AM7" s="38">
        <v>3</v>
      </c>
      <c r="AN7" s="38" t="s">
        <v>789</v>
      </c>
      <c r="AO7" s="38" t="s">
        <v>719</v>
      </c>
      <c r="AP7" s="38" t="s">
        <v>791</v>
      </c>
      <c r="AQ7" s="38" t="s">
        <v>718</v>
      </c>
      <c r="AR7" s="38" t="s">
        <v>765</v>
      </c>
      <c r="AT7" t="s">
        <v>175</v>
      </c>
      <c r="AU7" t="s">
        <v>176</v>
      </c>
      <c r="AV7">
        <v>1210</v>
      </c>
      <c r="AW7">
        <v>127</v>
      </c>
      <c r="BA7" s="38">
        <v>111</v>
      </c>
      <c r="BB7" s="38" t="s">
        <v>769</v>
      </c>
      <c r="BK7" s="38" t="s">
        <v>740</v>
      </c>
      <c r="BL7" s="38" t="s">
        <v>756</v>
      </c>
      <c r="BN7" t="s">
        <v>913</v>
      </c>
      <c r="BP7" s="43" t="s">
        <v>724</v>
      </c>
      <c r="BQ7" s="44" t="s">
        <v>784</v>
      </c>
      <c r="BX7" t="s">
        <v>918</v>
      </c>
      <c r="BY7" s="52" t="s">
        <v>919</v>
      </c>
      <c r="CM7" s="53" t="s">
        <v>948</v>
      </c>
      <c r="CN7" s="53" t="s">
        <v>949</v>
      </c>
      <c r="CO7" t="s">
        <v>948</v>
      </c>
      <c r="CW7" s="54" t="s">
        <v>698</v>
      </c>
      <c r="CY7" t="s">
        <v>965</v>
      </c>
    </row>
    <row r="8" spans="1:109" ht="15.75" thickBot="1">
      <c r="A8" s="3" t="s">
        <v>33</v>
      </c>
      <c r="B8" s="7" t="s">
        <v>1068</v>
      </c>
      <c r="C8" s="58" t="s">
        <v>1049</v>
      </c>
      <c r="D8" s="5" t="s">
        <v>1075</v>
      </c>
      <c r="E8" s="3" t="s">
        <v>149</v>
      </c>
      <c r="F8" s="2" t="s">
        <v>701</v>
      </c>
      <c r="G8" s="2" t="s">
        <v>702</v>
      </c>
      <c r="H8" s="2" t="s">
        <v>698</v>
      </c>
      <c r="I8" s="2" t="s">
        <v>698</v>
      </c>
      <c r="J8" s="2" t="s">
        <v>1103</v>
      </c>
      <c r="K8" s="2" t="n">
        <v>1.0</v>
      </c>
      <c r="L8" s="4" t="n">
        <v>1.0</v>
      </c>
      <c r="P8" s="3" t="s">
        <v>49</v>
      </c>
      <c r="Q8" s="4"/>
      <c r="R8" s="3" t="s">
        <v>133</v>
      </c>
      <c r="S8" s="4" t="s">
        <v>140</v>
      </c>
      <c r="T8" s="3" t="s">
        <v>144</v>
      </c>
      <c r="U8" s="4" t="s">
        <v>140</v>
      </c>
      <c r="V8" s="72" t="s">
        <v>116</v>
      </c>
      <c r="W8" s="4" t="n">
        <f>IF($X$2="#16#",IF($F$9="&lt;NULL&gt;","-",$F$9/10),"-")</f>
        <v>133.0</v>
      </c>
      <c r="AF8" s="38" t="s">
        <v>725</v>
      </c>
      <c r="AG8" s="38" t="s">
        <v>725</v>
      </c>
      <c r="AI8" s="75" t="s">
        <v>1003</v>
      </c>
      <c r="AJ8" s="75" t="s">
        <v>996</v>
      </c>
      <c r="AK8" s="40" t="s">
        <v>796</v>
      </c>
      <c r="AL8" s="38" t="s">
        <v>875</v>
      </c>
      <c r="AM8" s="38">
        <v>4</v>
      </c>
      <c r="AN8" s="38" t="s">
        <v>788</v>
      </c>
      <c r="AO8" s="38" t="s">
        <v>790</v>
      </c>
      <c r="AP8" s="38" t="s">
        <v>768</v>
      </c>
      <c r="AQ8" s="38" t="s">
        <v>716</v>
      </c>
      <c r="AR8" s="38" t="s">
        <v>731</v>
      </c>
      <c r="AT8" t="s">
        <v>177</v>
      </c>
      <c r="AU8" t="s">
        <v>176</v>
      </c>
      <c r="AV8">
        <v>1216</v>
      </c>
      <c r="AW8">
        <v>127</v>
      </c>
      <c r="BA8" s="38"/>
      <c r="BK8" s="38" t="s">
        <v>733</v>
      </c>
      <c r="BL8" s="38" t="s">
        <v>749</v>
      </c>
      <c r="BN8" t="s">
        <v>913</v>
      </c>
      <c r="BP8" s="45" t="s">
        <v>726</v>
      </c>
      <c r="BQ8" s="46" t="s">
        <v>848</v>
      </c>
      <c r="BX8" t="s">
        <v>920</v>
      </c>
      <c r="BY8" s="52" t="s">
        <v>921</v>
      </c>
      <c r="CM8" s="53" t="s">
        <v>950</v>
      </c>
      <c r="CN8" s="53" t="s">
        <v>951</v>
      </c>
      <c r="CO8" t="s">
        <v>950</v>
      </c>
    </row>
    <row r="9" spans="1:109">
      <c r="A9" s="3" t="s">
        <v>34</v>
      </c>
      <c r="B9" s="4" t="s">
        <v>1066</v>
      </c>
      <c r="E9" s="3" t="s">
        <v>4</v>
      </c>
      <c r="F9" s="2" t="n">
        <v>1330.0</v>
      </c>
      <c r="G9" s="2" t="s">
        <v>698</v>
      </c>
      <c r="H9" s="2" t="s">
        <v>698</v>
      </c>
      <c r="I9" s="2" t="s">
        <v>698</v>
      </c>
      <c r="J9" s="2" t="s">
        <v>1108</v>
      </c>
      <c r="K9" s="2" t="n">
        <v>1.0</v>
      </c>
      <c r="L9" s="4" t="n">
        <v>0.0</v>
      </c>
      <c r="P9" s="3" t="s">
        <v>50</v>
      </c>
      <c r="Q9" s="4" t="str">
        <f>$B$2</f>
        <v>Gildenveld 23</v>
      </c>
      <c r="R9" s="3" t="s">
        <v>134</v>
      </c>
      <c r="S9" s="4" t="s">
        <v>140</v>
      </c>
      <c r="T9" s="72" t="s">
        <v>117</v>
      </c>
      <c r="U9" s="4" t="str">
        <f>IF($X$2="#15#",IF($F$11="&lt;NULL&gt;","-",$F$11/10),"-")</f>
        <v>-</v>
      </c>
      <c r="V9" s="72" t="s">
        <v>118</v>
      </c>
      <c r="W9" s="4" t="str">
        <f>IF($X$2="#16#",IF($F$5="&lt;NULL&gt;","-",VLOOKUP($F$5,$AI:$AQ,9,FALSE)&amp;VLOOKUP($F$20,$BI:$BK,3,FALSE)),"-")</f>
        <v>D</v>
      </c>
      <c r="AF9" s="39" t="s">
        <v>832</v>
      </c>
      <c r="AG9" s="39" t="s">
        <v>833</v>
      </c>
      <c r="AI9" s="75" t="s">
        <v>1004</v>
      </c>
      <c r="AJ9" s="75" t="s">
        <v>998</v>
      </c>
      <c r="AK9" s="40" t="s">
        <v>796</v>
      </c>
      <c r="AL9" s="38" t="s">
        <v>875</v>
      </c>
      <c r="AM9" s="38">
        <v>4</v>
      </c>
      <c r="AN9" s="38" t="s">
        <v>788</v>
      </c>
      <c r="AO9" s="38" t="s">
        <v>790</v>
      </c>
      <c r="AP9" s="38" t="s">
        <v>768</v>
      </c>
      <c r="AQ9" s="38" t="s">
        <v>718</v>
      </c>
      <c r="AR9" s="38" t="s">
        <v>765</v>
      </c>
      <c r="AT9" t="s">
        <v>178</v>
      </c>
      <c r="AU9" t="s">
        <v>176</v>
      </c>
      <c r="AV9">
        <v>1241</v>
      </c>
      <c r="AW9">
        <v>127</v>
      </c>
      <c r="BK9" s="38" t="s">
        <v>741</v>
      </c>
      <c r="BL9" s="38" t="s">
        <v>757</v>
      </c>
      <c r="BN9" t="s">
        <v>913</v>
      </c>
      <c r="BP9" s="45" t="s">
        <v>727</v>
      </c>
      <c r="BQ9" s="46" t="s">
        <v>849</v>
      </c>
      <c r="CM9" s="53" t="s">
        <v>952</v>
      </c>
      <c r="CN9" s="53" t="s">
        <v>953</v>
      </c>
      <c r="CO9" t="s">
        <v>952</v>
      </c>
    </row>
    <row r="10" spans="1:109" ht="15.75" thickBot="1">
      <c r="A10" s="3" t="s">
        <v>35</v>
      </c>
      <c r="B10" s="4" t="n">
        <v>161.0</v>
      </c>
      <c r="E10" s="3" t="s">
        <v>150</v>
      </c>
      <c r="F10" s="2" t="s">
        <v>698</v>
      </c>
      <c r="G10" s="2" t="s">
        <v>698</v>
      </c>
      <c r="H10" s="2" t="s">
        <v>698</v>
      </c>
      <c r="I10" s="2" t="s">
        <v>698</v>
      </c>
      <c r="J10" s="2" t="s">
        <v>1113</v>
      </c>
      <c r="K10" s="2" t="n">
        <v>0.0</v>
      </c>
      <c r="L10" s="4" t="n">
        <v>1.0</v>
      </c>
      <c r="P10" s="3" t="s">
        <v>51</v>
      </c>
      <c r="Q10" s="4" t="str">
        <f>$B$16</f>
        <v>3892 DC</v>
      </c>
      <c r="R10" s="72" t="s">
        <v>136</v>
      </c>
      <c r="S10" t="str">
        <f>IF($X$2="#14#",IF(OR($S$4=1,$S$4=2),ROUNDUP(((($S$12*10)-10-$S$18)/IF($S$18=127,114.7,IF($S$18=89,79.2,0))),0)+1,IF((((ROUNDUP(((($S$12*10)-10-$S$18)/IF($S$18=127,114.7,IF($S$18=89,79.2,0))),0)+1)/2)-INT((ROUNDUP(((($S$12*10)-10-$S$18)/IF($S$18=127,114.7,IF($S$18=89,79.2,0))),0)+1)/2))*2=0,ROUNDUP(((($S$12*10)-10-$S$18)/IF($S$18=127,114.7,IF($S$18=89,79.2,0))),0)+1,ROUNDUP(((($S$12*10)-10-$S$18)/IF($S$18=127,114.7,IF($S$18=89,79.2,0))),0)+2)),"-")</f>
        <v>-</v>
      </c>
      <c r="T10" s="72" t="s">
        <v>123</v>
      </c>
      <c r="U10" s="4" t="str">
        <f>IF($X$2="#15#",IF($F$7="&lt;NULL&gt;","-",VLOOKUP($F$7,$AT:$AW,4,FALSE)),"-")</f>
        <v>-</v>
      </c>
      <c r="V10" s="72" t="s">
        <v>139</v>
      </c>
      <c r="W10" s="4" t="str">
        <f><![CDATA[IF($X$2="#15#",IF(OR($F$22="-",$F$22="",$F$22="<NULL>",$F$22="<NONE>"),"-","EP_"&VLOOKUP($F$22,$CM$1:$CO$10,3,FALSE)&"_"&VLOOKUP($F$23,$CR$1:$CT$10,3,FALSE)&"_"&VLOOKUP($F$24,$CW$1:$CY$10,3,FALSE)&"_"&VLOOKUP($F$25,$DB$1:$DD$10,3,FALSE)&"_X00_Y00_Z00"),"-")]]></f>
        <v>-</v>
      </c>
      <c r="AF10" s="39" t="s">
        <v>834</v>
      </c>
      <c r="AG10" s="39" t="s">
        <v>835</v>
      </c>
      <c r="AI10" s="75">
        <v>6</v>
      </c>
      <c r="AJ10" s="75" t="s">
        <v>1005</v>
      </c>
      <c r="AK10" s="40" t="s">
        <v>796</v>
      </c>
      <c r="AL10" s="38" t="s">
        <v>875</v>
      </c>
      <c r="AM10" s="38">
        <v>6</v>
      </c>
      <c r="AN10" s="38" t="s">
        <v>787</v>
      </c>
      <c r="AO10" s="38" t="s">
        <v>790</v>
      </c>
      <c r="AP10" s="38" t="s">
        <v>768</v>
      </c>
      <c r="AQ10" s="38" t="s">
        <v>719</v>
      </c>
      <c r="AR10" s="38" t="s">
        <v>1031</v>
      </c>
      <c r="AT10" t="s">
        <v>179</v>
      </c>
      <c r="AU10" t="s">
        <v>180</v>
      </c>
      <c r="AV10">
        <v>2110</v>
      </c>
      <c r="AW10">
        <v>127</v>
      </c>
      <c r="BA10" s="38"/>
      <c r="BK10" s="38" t="s">
        <v>734</v>
      </c>
      <c r="BL10" s="38" t="s">
        <v>750</v>
      </c>
      <c r="BN10" t="s">
        <v>913</v>
      </c>
      <c r="BP10" s="47" t="s">
        <v>728</v>
      </c>
      <c r="BQ10" s="48" t="s">
        <v>850</v>
      </c>
      <c r="CM10" s="54" t="s">
        <v>698</v>
      </c>
      <c r="CO10" t="s">
        <v>954</v>
      </c>
    </row>
    <row r="11" spans="1:109" ht="15.75" thickBot="1">
      <c r="A11" s="3" t="s">
        <v>36</v>
      </c>
      <c r="B11" s="4" t="s">
        <v>101</v>
      </c>
      <c r="E11" s="3" t="s">
        <v>5</v>
      </c>
      <c r="F11" s="2" t="s">
        <v>698</v>
      </c>
      <c r="G11" s="2" t="s">
        <v>698</v>
      </c>
      <c r="H11" s="2" t="s">
        <v>698</v>
      </c>
      <c r="I11" s="2" t="s">
        <v>698</v>
      </c>
      <c r="J11" s="2" t="s">
        <v>1112</v>
      </c>
      <c r="K11" s="2" t="n">
        <v>0.0</v>
      </c>
      <c r="L11" s="4" t="n">
        <v>0.0</v>
      </c>
      <c r="P11" s="3" t="s">
        <v>52</v>
      </c>
      <c r="Q11" s="4" t="str">
        <f>$B$3</f>
        <v>Zeewolde</v>
      </c>
      <c r="R11" s="72" t="s">
        <v>131</v>
      </c>
      <c r="S11" s="4" t="str">
        <f>IF($X$2="#14#",IF($F$6="&lt;NULL&gt;","-",VLOOKUP($F$6,$BD:$BF,3,FALSE)),"-")</f>
        <v>-</v>
      </c>
      <c r="T11" s="72" t="s">
        <v>145</v>
      </c>
      <c r="U11" s="4" t="str">
        <f>IF($X$2="#15#",IF($F$33="&lt;NULL&gt;","-",IF($F$33="PASEK","P","C")),"-")</f>
        <v>-</v>
      </c>
      <c r="V11" s="72" t="s">
        <v>119</v>
      </c>
      <c r="W11" s="4" t="str">
        <f>IF($X$2="#16#",IF($F$5="&lt;NULL&gt;","-",VLOOKUP($F$5,$AI:$AO,7,FALSE)),"-")</f>
        <v>D</v>
      </c>
      <c r="AF11" s="39" t="s">
        <v>824</v>
      </c>
      <c r="AG11" s="39" t="s">
        <v>825</v>
      </c>
      <c r="AI11" s="75" t="s">
        <v>1006</v>
      </c>
      <c r="AJ11" s="75" t="s">
        <v>1007</v>
      </c>
      <c r="AK11" s="40" t="s">
        <v>797</v>
      </c>
      <c r="AL11" s="38" t="s">
        <v>836</v>
      </c>
      <c r="AM11" t="s">
        <v>140</v>
      </c>
      <c r="AO11" s="38" t="s">
        <v>140</v>
      </c>
      <c r="AQ11" s="38" t="s">
        <v>140</v>
      </c>
      <c r="AT11" t="s">
        <v>181</v>
      </c>
      <c r="AU11" t="s">
        <v>180</v>
      </c>
      <c r="AV11">
        <v>2118</v>
      </c>
      <c r="AW11">
        <v>127</v>
      </c>
      <c r="BK11" s="38" t="s">
        <v>742</v>
      </c>
      <c r="BL11" s="38" t="s">
        <v>758</v>
      </c>
      <c r="BN11" t="s">
        <v>913</v>
      </c>
      <c r="BP11" s="38">
        <v>5</v>
      </c>
      <c r="BQ11" s="38" t="s">
        <v>782</v>
      </c>
    </row>
    <row r="12" spans="1:109" ht="15.75" thickBot="1">
      <c r="A12" s="3" t="s">
        <v>37</v>
      </c>
      <c r="B12" s="4" t="s">
        <v>1069</v>
      </c>
      <c r="E12" s="3" t="s">
        <v>151</v>
      </c>
      <c r="F12" s="2" t="s">
        <v>698</v>
      </c>
      <c r="G12" s="2" t="s">
        <v>698</v>
      </c>
      <c r="H12" s="2" t="s">
        <v>698</v>
      </c>
      <c r="I12" s="2" t="s">
        <v>698</v>
      </c>
      <c r="J12" s="2" t="s">
        <v>1110</v>
      </c>
      <c r="K12" s="2" t="n">
        <v>0.0</v>
      </c>
      <c r="L12" s="4"/>
      <c r="P12" s="3" t="s">
        <v>53</v>
      </c>
      <c r="Q12" s="4" t="str">
        <f>$B$7</f>
        <v>NL</v>
      </c>
      <c r="R12" s="72" t="s">
        <v>116</v>
      </c>
      <c r="S12" s="4" t="str">
        <f>IF($X$2="#14#",IF($F$9="&lt;NULL&gt;","-",$F$9/10),"-")</f>
        <v>-</v>
      </c>
      <c r="T12" s="73" t="s">
        <v>125</v>
      </c>
      <c r="U12" s="5" t="str">
        <f>IF($X$2="#15#",IF($F$2="&lt;NULL&gt;","-","T"),"-")</f>
        <v>-</v>
      </c>
      <c r="V12" s="72" t="s">
        <v>123</v>
      </c>
      <c r="W12" s="4" t="n">
        <f>IF($X$2="#16#",IF($F$8="&lt;NULL&gt;","-",VLOOKUP($F$8,$AY:$BA,3,FALSE)),"-")</f>
        <v>89.0</v>
      </c>
      <c r="AI12" s="75" t="s">
        <v>1008</v>
      </c>
      <c r="AJ12" s="75" t="s">
        <v>1007</v>
      </c>
      <c r="AK12" s="40" t="s">
        <v>798</v>
      </c>
      <c r="AL12" s="38" t="s">
        <v>837</v>
      </c>
      <c r="AM12" t="s">
        <v>140</v>
      </c>
      <c r="AO12" s="38" t="s">
        <v>140</v>
      </c>
      <c r="AQ12" s="38" t="s">
        <v>140</v>
      </c>
      <c r="AT12" t="s">
        <v>182</v>
      </c>
      <c r="AU12" t="s">
        <v>180</v>
      </c>
      <c r="AV12">
        <v>2142</v>
      </c>
      <c r="AW12">
        <v>127</v>
      </c>
      <c r="BK12" s="38" t="s">
        <v>735</v>
      </c>
      <c r="BL12" s="38" t="s">
        <v>751</v>
      </c>
      <c r="BN12" t="s">
        <v>913</v>
      </c>
      <c r="BP12" s="43" t="s">
        <v>714</v>
      </c>
      <c r="BQ12" s="44" t="s">
        <v>856</v>
      </c>
    </row>
    <row r="13" spans="1:109">
      <c r="A13" s="3" t="s">
        <v>38</v>
      </c>
      <c r="B13" s="8" t="s">
        <v>1070</v>
      </c>
      <c r="E13" s="3" t="s">
        <v>1051</v>
      </c>
      <c r="F13" s="2"/>
      <c r="G13" s="2"/>
      <c r="H13" s="2"/>
      <c r="I13" s="2"/>
      <c r="J13" s="2"/>
      <c r="K13" s="2"/>
      <c r="L13" s="4"/>
      <c r="P13" s="3" t="s">
        <v>54</v>
      </c>
      <c r="Q13" s="4" t="str">
        <f>$B$12</f>
        <v>0031 36 530 71 50</v>
      </c>
      <c r="R13" s="72" t="s">
        <v>117</v>
      </c>
      <c r="S13" s="4" t="str">
        <f>IF($X$2="#14#",IF($F$11="&lt;NULL&gt;","-",$F$11/10),"-")</f>
        <v>-</v>
      </c>
      <c r="V13" s="72" t="s">
        <v>132</v>
      </c>
      <c r="W13" s="4" t="str">
        <f>IF($X$2="#16#",IF($F$29="&lt;NULL&gt;","-",VLOOKUP($F$29,$CC:$CE,3,FALSE)),"-")</f>
        <v>N</v>
      </c>
      <c r="AI13" s="75" t="s">
        <v>1009</v>
      </c>
      <c r="AJ13" s="75" t="s">
        <v>1007</v>
      </c>
      <c r="AK13" s="40" t="s">
        <v>799</v>
      </c>
      <c r="AL13" s="38" t="s">
        <v>838</v>
      </c>
      <c r="AM13" t="s">
        <v>140</v>
      </c>
      <c r="AO13" s="38" t="s">
        <v>140</v>
      </c>
      <c r="AQ13" s="38" t="s">
        <v>140</v>
      </c>
      <c r="AT13" t="s">
        <v>183</v>
      </c>
      <c r="AU13" t="s">
        <v>172</v>
      </c>
      <c r="AV13">
        <v>2210</v>
      </c>
      <c r="AW13">
        <v>127</v>
      </c>
      <c r="BK13" s="38" t="s">
        <v>743</v>
      </c>
      <c r="BL13" s="38" t="s">
        <v>759</v>
      </c>
      <c r="BN13" t="s">
        <v>913</v>
      </c>
      <c r="BP13" s="45" t="s">
        <v>851</v>
      </c>
      <c r="BQ13" s="46" t="s">
        <v>857</v>
      </c>
    </row>
    <row r="14" spans="1:109" ht="15.75" thickBot="1">
      <c r="A14" s="3" t="s">
        <v>39</v>
      </c>
      <c r="B14" s="9" t="s">
        <v>1071</v>
      </c>
      <c r="E14" s="3" t="s">
        <v>1052</v>
      </c>
      <c r="F14" s="2"/>
      <c r="G14" s="2"/>
      <c r="H14" s="2"/>
      <c r="I14" s="2"/>
      <c r="J14" s="2"/>
      <c r="K14" s="2"/>
      <c r="L14" s="4"/>
      <c r="P14" s="3" t="s">
        <v>55</v>
      </c>
      <c r="Q14" s="4" t="str">
        <f>$B$8</f>
        <v>verkoop@maxsol.nl</v>
      </c>
      <c r="R14" s="3" t="s">
        <v>127</v>
      </c>
      <c r="S14" s="4" t="s">
        <v>140</v>
      </c>
      <c r="V14" s="72" t="s">
        <v>120</v>
      </c>
      <c r="W14" s="4" t="n">
        <f>IF($X$2="#16#",IF($F$21="&lt;NULL&gt;",CEILING($F$11/10*0.7,10),$F$21/10),"-")</f>
        <v>150.0</v>
      </c>
      <c r="AI14" s="75" t="s">
        <v>1010</v>
      </c>
      <c r="AJ14" s="75" t="s">
        <v>1007</v>
      </c>
      <c r="AK14" s="40" t="s">
        <v>800</v>
      </c>
      <c r="AL14" s="38" t="s">
        <v>839</v>
      </c>
      <c r="AM14" s="38" t="s">
        <v>140</v>
      </c>
      <c r="AN14" s="38"/>
      <c r="AO14" s="38" t="s">
        <v>140</v>
      </c>
      <c r="AP14" s="38"/>
      <c r="AQ14" s="38" t="s">
        <v>140</v>
      </c>
      <c r="AR14" s="38"/>
      <c r="AT14" t="s">
        <v>184</v>
      </c>
      <c r="AU14" t="s">
        <v>170</v>
      </c>
      <c r="AV14">
        <v>3110</v>
      </c>
      <c r="AW14">
        <v>127</v>
      </c>
      <c r="BK14" s="38" t="s">
        <v>736</v>
      </c>
      <c r="BL14" s="38" t="s">
        <v>752</v>
      </c>
      <c r="BN14" t="s">
        <v>913</v>
      </c>
      <c r="BP14" s="47" t="s">
        <v>852</v>
      </c>
      <c r="BQ14" s="48" t="s">
        <v>858</v>
      </c>
    </row>
    <row r="15" spans="1:109">
      <c r="A15" s="3" t="s">
        <v>40</v>
      </c>
      <c r="B15" s="4" t="s">
        <v>1072</v>
      </c>
      <c r="E15" s="3" t="s">
        <v>1053</v>
      </c>
      <c r="F15" s="2"/>
      <c r="G15" s="2"/>
      <c r="H15" s="2"/>
      <c r="I15" s="2"/>
      <c r="J15" s="2"/>
      <c r="K15" s="2"/>
      <c r="L15" s="4"/>
      <c r="P15" s="3" t="s">
        <v>56</v>
      </c>
      <c r="Q15" s="4"/>
      <c r="R15" s="72" t="s">
        <v>118</v>
      </c>
      <c r="S15" s="4" t="str">
        <f>IF($X$2="#14#",IF($F$5="&lt;NULL&gt;","-",VLOOKUP($F$5,$AI:$AQ,9,FALSE)&amp;VLOOKUP($F$20,$BI:$BK,3,FALSE)),"-")</f>
        <v>-</v>
      </c>
      <c r="V15" s="72" t="s">
        <v>121</v>
      </c>
      <c r="W15" s="4" t="n">
        <f>IF($X$2="#16#",IF($F$28="&lt;NULL&gt;","-",VLOOKUP($F$28,$BN:$BP,3,FALSE)),"-")</f>
        <v>1.0</v>
      </c>
      <c r="AI15" s="75" t="s">
        <v>1011</v>
      </c>
      <c r="AJ15" s="75" t="s">
        <v>1007</v>
      </c>
      <c r="AK15" s="40" t="s">
        <v>801</v>
      </c>
      <c r="AL15" s="38" t="s">
        <v>840</v>
      </c>
      <c r="AM15" s="38" t="s">
        <v>140</v>
      </c>
      <c r="AN15" s="38"/>
      <c r="AO15" s="38" t="s">
        <v>140</v>
      </c>
      <c r="AP15" s="38"/>
      <c r="AQ15" s="38" t="s">
        <v>140</v>
      </c>
      <c r="AR15" s="38"/>
      <c r="AT15" t="s">
        <v>185</v>
      </c>
      <c r="AU15" t="s">
        <v>170</v>
      </c>
      <c r="AV15">
        <v>3116</v>
      </c>
      <c r="AW15">
        <v>127</v>
      </c>
      <c r="BK15" s="38" t="s">
        <v>744</v>
      </c>
      <c r="BL15" s="38" t="s">
        <v>760</v>
      </c>
      <c r="BN15" t="s">
        <v>913</v>
      </c>
      <c r="BP15" s="43" t="s">
        <v>853</v>
      </c>
      <c r="BQ15" s="44" t="s">
        <v>859</v>
      </c>
    </row>
    <row r="16" spans="1:109">
      <c r="A16" s="3" t="s">
        <v>41</v>
      </c>
      <c r="B16" s="4" t="s">
        <v>1073</v>
      </c>
      <c r="E16" s="3" t="s">
        <v>1054</v>
      </c>
      <c r="F16" s="2"/>
      <c r="G16" s="2"/>
      <c r="H16" s="2"/>
      <c r="I16" s="2"/>
      <c r="J16" s="2"/>
      <c r="K16" s="2"/>
      <c r="L16" s="4"/>
      <c r="P16" s="3" t="s">
        <v>61</v>
      </c>
      <c r="Q16" s="4" t="str">
        <f>$D$3</f>
        <v>&lt;NULL&gt;</v>
      </c>
      <c r="R16" s="72" t="s">
        <v>139</v>
      </c>
      <c r="S16" s="4" t="str">
        <f><![CDATA[IF($X$2="#14#",IF(OR($F$22="-",$F$22="",$F$22="<NULL>",$F$22="<NONE>"),"-","EP_"&VLOOKUP($F$22,$CM$1:$CO$10,3,FALSE)&"_"&VLOOKUP($F$23,$CR$1:$CT$10,3,FALSE)&"_"&VLOOKUP($F$24,$CW$1:$CY$10,3,FALSE)&"_"&VLOOKUP($F$25,$DB$1:$DD$10,3,FALSE)&"_X00_Y00_Z00"),"-")]]></f>
        <v>-</v>
      </c>
      <c r="V16" s="3" t="s">
        <v>122</v>
      </c>
      <c r="W16" s="4" t="str">
        <f>IF($X$2="#16#",IF($F$1="&lt;NULL&gt;","-","-"),"-")</f>
        <v>-</v>
      </c>
      <c r="AI16" s="75" t="s">
        <v>1012</v>
      </c>
      <c r="AJ16" s="75" t="s">
        <v>1007</v>
      </c>
      <c r="AK16" s="40" t="s">
        <v>802</v>
      </c>
      <c r="AL16" s="38" t="s">
        <v>841</v>
      </c>
      <c r="AM16" s="38" t="s">
        <v>140</v>
      </c>
      <c r="AN16" s="38"/>
      <c r="AO16" s="38" t="s">
        <v>140</v>
      </c>
      <c r="AP16" s="38"/>
      <c r="AQ16" s="38" t="s">
        <v>140</v>
      </c>
      <c r="AR16" s="38"/>
      <c r="AT16" t="s">
        <v>186</v>
      </c>
      <c r="AU16" t="s">
        <v>170</v>
      </c>
      <c r="AV16">
        <v>3118</v>
      </c>
      <c r="AW16">
        <v>127</v>
      </c>
      <c r="BK16" s="38" t="s">
        <v>737</v>
      </c>
      <c r="BL16" s="38" t="s">
        <v>753</v>
      </c>
      <c r="BN16" t="s">
        <v>913</v>
      </c>
      <c r="BP16" s="45" t="s">
        <v>854</v>
      </c>
      <c r="BQ16" s="46" t="s">
        <v>860</v>
      </c>
    </row>
    <row r="17" spans="1:69" ht="15.75" thickBot="1">
      <c r="A17" s="58" t="s">
        <v>79</v>
      </c>
      <c r="B17" s="5" t="n">
        <v>1469.0</v>
      </c>
      <c r="E17" s="3" t="s">
        <v>1055</v>
      </c>
      <c r="F17" s="2"/>
      <c r="G17" s="2"/>
      <c r="H17" s="2"/>
      <c r="I17" s="2"/>
      <c r="J17" s="2"/>
      <c r="K17" s="2"/>
      <c r="L17" s="4"/>
      <c r="P17" s="64" t="s">
        <v>113</v>
      </c>
      <c r="Q17" s="25" t="n">
        <f>F2</f>
        <v>1.0</v>
      </c>
      <c r="R17" s="72" t="s">
        <v>119</v>
      </c>
      <c r="S17" s="4" t="str">
        <f>IF($X$2="#14#",IF($F$5="&lt;NULL&gt;","-",VLOOKUP($F$5,$AI:$AO,7,FALSE)),"-")</f>
        <v>-</v>
      </c>
      <c r="V17" s="73" t="s">
        <v>125</v>
      </c>
      <c r="W17" s="5" t="str">
        <f>IF($X$2="#16#",IF($F$2="&lt;NULL&gt;","-","T"),"-")</f>
        <v>T</v>
      </c>
      <c r="AI17" s="75" t="s">
        <v>1013</v>
      </c>
      <c r="AJ17" s="75" t="s">
        <v>1007</v>
      </c>
      <c r="AK17" s="40" t="s">
        <v>803</v>
      </c>
      <c r="AL17" s="38" t="s">
        <v>842</v>
      </c>
      <c r="AM17" s="38" t="s">
        <v>140</v>
      </c>
      <c r="AN17" s="38"/>
      <c r="AO17" s="38" t="s">
        <v>140</v>
      </c>
      <c r="AQ17" s="38" t="s">
        <v>140</v>
      </c>
      <c r="AT17" t="s">
        <v>187</v>
      </c>
      <c r="AU17" t="s">
        <v>170</v>
      </c>
      <c r="AV17">
        <v>3142</v>
      </c>
      <c r="AW17">
        <v>127</v>
      </c>
      <c r="BK17" s="38" t="s">
        <v>745</v>
      </c>
      <c r="BL17" s="38" t="s">
        <v>761</v>
      </c>
      <c r="BN17" t="s">
        <v>913</v>
      </c>
      <c r="BP17" s="47" t="s">
        <v>855</v>
      </c>
      <c r="BQ17" s="48" t="s">
        <v>861</v>
      </c>
    </row>
    <row r="18" spans="1:69">
      <c r="A18"/>
      <c r="E18" s="3" t="s">
        <v>1056</v>
      </c>
      <c r="F18" s="2"/>
      <c r="G18" s="2"/>
      <c r="H18" s="2"/>
      <c r="I18" s="2"/>
      <c r="J18" s="2"/>
      <c r="K18" s="2"/>
      <c r="L18" s="4"/>
      <c r="P18" s="64" t="s">
        <v>114</v>
      </c>
      <c r="Q18" s="25">
        <v>1</v>
      </c>
      <c r="R18" s="72" t="s">
        <v>123</v>
      </c>
      <c r="S18" s="4" t="str">
        <f>IF($X$2="#14#",IF($F$7="&lt;NULL&gt;","-",VLOOKUP($F$7,$AT:$AW,4,FALSE)),"-")</f>
        <v>-</v>
      </c>
      <c r="AI18" s="75" t="s">
        <v>1014</v>
      </c>
      <c r="AJ18" s="75" t="s">
        <v>1007</v>
      </c>
      <c r="AK18" s="40" t="s">
        <v>804</v>
      </c>
      <c r="AL18" s="38" t="s">
        <v>843</v>
      </c>
      <c r="AM18" s="38" t="s">
        <v>140</v>
      </c>
      <c r="AN18" s="38"/>
      <c r="AO18" s="38" t="s">
        <v>140</v>
      </c>
      <c r="AQ18" s="38" t="s">
        <v>140</v>
      </c>
      <c r="AT18" t="s">
        <v>188</v>
      </c>
      <c r="AU18" t="s">
        <v>189</v>
      </c>
      <c r="AV18">
        <v>3804</v>
      </c>
      <c r="AW18">
        <v>127</v>
      </c>
      <c r="BK18" s="38" t="s">
        <v>738</v>
      </c>
      <c r="BL18" s="38" t="s">
        <v>754</v>
      </c>
      <c r="BN18" t="s">
        <v>903</v>
      </c>
      <c r="BO18" t="s">
        <v>904</v>
      </c>
      <c r="BP18" s="45" t="s">
        <v>1033</v>
      </c>
    </row>
    <row r="19" spans="1:69">
      <c r="E19" s="3" t="s">
        <v>152</v>
      </c>
      <c r="F19" s="2" t="s">
        <v>698</v>
      </c>
      <c r="G19" s="2" t="s">
        <v>698</v>
      </c>
      <c r="H19" s="2" t="s">
        <v>698</v>
      </c>
      <c r="I19" s="2" t="s">
        <v>698</v>
      </c>
      <c r="J19" s="2" t="s">
        <v>1086</v>
      </c>
      <c r="K19" s="2" t="n">
        <v>0.0</v>
      </c>
      <c r="L19" s="4" t="n">
        <v>0.0</v>
      </c>
      <c r="P19" s="64" t="s">
        <v>62</v>
      </c>
      <c r="Q19" s="25" t="n">
        <f>IF(ISERROR($F$37/1),0,$F$37)</f>
        <v>26.28</v>
      </c>
      <c r="R19" s="72" t="s">
        <v>132</v>
      </c>
      <c r="S19" s="4" t="str">
        <f>IF($X$2="#14#",IF($F$29="&lt;NULL&gt;","-",VLOOKUP($F$29,$CC:$CE,3,FALSE)),"-")</f>
        <v>-</v>
      </c>
      <c r="AI19" s="75" t="s">
        <v>1015</v>
      </c>
      <c r="AJ19" s="75" t="s">
        <v>1007</v>
      </c>
      <c r="AK19" s="40" t="s">
        <v>805</v>
      </c>
      <c r="AL19" s="38" t="s">
        <v>844</v>
      </c>
      <c r="AM19" s="38" t="s">
        <v>140</v>
      </c>
      <c r="AN19" s="38"/>
      <c r="AO19" s="38" t="s">
        <v>140</v>
      </c>
      <c r="AP19" s="38"/>
      <c r="AQ19" s="38" t="s">
        <v>140</v>
      </c>
      <c r="AR19" s="38"/>
      <c r="AT19" t="s">
        <v>190</v>
      </c>
      <c r="AU19" t="s">
        <v>172</v>
      </c>
      <c r="AV19">
        <v>3809</v>
      </c>
      <c r="AW19">
        <v>127</v>
      </c>
      <c r="BK19" s="38" t="s">
        <v>746</v>
      </c>
      <c r="BL19" s="38" t="s">
        <v>762</v>
      </c>
    </row>
    <row r="20" spans="1:69">
      <c r="E20" s="3" t="s">
        <v>153</v>
      </c>
      <c r="F20" s="2" t="s">
        <v>1038</v>
      </c>
      <c r="G20" s="2" t="s">
        <v>1095</v>
      </c>
      <c r="H20" s="2" t="s">
        <v>698</v>
      </c>
      <c r="I20" s="2" t="s">
        <v>698</v>
      </c>
      <c r="J20" s="2" t="s">
        <v>1096</v>
      </c>
      <c r="K20" s="2" t="n">
        <v>1.0</v>
      </c>
      <c r="L20" s="4" t="n">
        <v>1.0</v>
      </c>
      <c r="P20" s="64" t="s">
        <v>63</v>
      </c>
      <c r="Q20" s="25" t="n">
        <f>ROUND(IF(ISERROR($Q$21/$Q$19),0,$Q$21/$Q$19),4)</f>
        <v>0.0</v>
      </c>
      <c r="R20" s="72" t="s">
        <v>120</v>
      </c>
      <c r="S20" s="4" t="str">
        <f>IF($X$2="#14#",IF($F$21="&lt;NULL&gt;",CEILING($F$11/10*0.7,10),$F$21/10),"-")</f>
        <v>-</v>
      </c>
      <c r="AI20" s="75" t="s">
        <v>1016</v>
      </c>
      <c r="AJ20" s="75" t="s">
        <v>1007</v>
      </c>
      <c r="AK20" s="40" t="s">
        <v>806</v>
      </c>
      <c r="AL20" s="38" t="s">
        <v>862</v>
      </c>
      <c r="AM20" s="38" t="s">
        <v>140</v>
      </c>
      <c r="AN20" s="38"/>
      <c r="AO20" s="38" t="s">
        <v>140</v>
      </c>
      <c r="AP20" s="38"/>
      <c r="AQ20" s="38" t="s">
        <v>140</v>
      </c>
      <c r="AR20" s="38"/>
      <c r="AT20" t="s">
        <v>191</v>
      </c>
      <c r="AU20" t="s">
        <v>189</v>
      </c>
      <c r="AV20">
        <v>3813</v>
      </c>
      <c r="AW20">
        <v>127</v>
      </c>
      <c r="BK20" s="38" t="s">
        <v>739</v>
      </c>
      <c r="BL20" s="38" t="s">
        <v>755</v>
      </c>
    </row>
    <row r="21" spans="1:69">
      <c r="E21" s="3" t="s">
        <v>12</v>
      </c>
      <c r="F21" s="2" t="n">
        <v>1500.0</v>
      </c>
      <c r="G21" s="2" t="s">
        <v>698</v>
      </c>
      <c r="H21" s="2" t="s">
        <v>698</v>
      </c>
      <c r="I21" s="2" t="s">
        <v>698</v>
      </c>
      <c r="J21" s="2" t="s">
        <v>1082</v>
      </c>
      <c r="K21" s="2" t="n">
        <v>1.0</v>
      </c>
      <c r="L21" s="4" t="n">
        <v>0.0</v>
      </c>
      <c r="P21" s="64" t="s">
        <v>64</v>
      </c>
      <c r="Q21" s="25" t="n">
        <f>$Q$19-$Q$22</f>
        <v>0.0</v>
      </c>
      <c r="R21" s="72" t="s">
        <v>121</v>
      </c>
      <c r="S21" s="4" t="str">
        <f>IF($X$2="#14#",IF($F$28="&lt;NULL&gt;","-",VLOOKUP($F$28,$BN:$BP,3,FALSE)),"-")</f>
        <v>-</v>
      </c>
      <c r="AI21" s="75" t="s">
        <v>1017</v>
      </c>
      <c r="AJ21" s="75" t="s">
        <v>1007</v>
      </c>
      <c r="AK21" s="40" t="s">
        <v>807</v>
      </c>
      <c r="AL21" s="38" t="s">
        <v>863</v>
      </c>
      <c r="AM21" s="38" t="s">
        <v>140</v>
      </c>
      <c r="AN21" s="38"/>
      <c r="AO21" s="38" t="s">
        <v>140</v>
      </c>
      <c r="AP21" s="38"/>
      <c r="AQ21" s="38" t="s">
        <v>140</v>
      </c>
      <c r="AR21" s="38"/>
      <c r="AT21" t="s">
        <v>192</v>
      </c>
      <c r="AU21" t="s">
        <v>172</v>
      </c>
      <c r="AV21">
        <v>3858</v>
      </c>
      <c r="AW21">
        <v>127</v>
      </c>
      <c r="BK21" s="38" t="s">
        <v>747</v>
      </c>
      <c r="BL21" s="38" t="s">
        <v>763</v>
      </c>
    </row>
    <row r="22" spans="1:69">
      <c r="E22" s="3" t="s">
        <v>6</v>
      </c>
      <c r="F22" s="2" t="s">
        <v>698</v>
      </c>
      <c r="G22" s="2" t="s">
        <v>698</v>
      </c>
      <c r="H22" s="2" t="s">
        <v>698</v>
      </c>
      <c r="I22" s="2" t="s">
        <v>698</v>
      </c>
      <c r="J22" s="2" t="s">
        <v>6</v>
      </c>
      <c r="K22" s="2" t="n">
        <v>0.0</v>
      </c>
      <c r="L22" s="4" t="n">
        <v>1.0</v>
      </c>
      <c r="P22" s="67" t="s">
        <v>65</v>
      </c>
      <c r="Q22" s="26" t="n">
        <f>IF(ISERROR($F$41/1),Q19,$F$41)</f>
        <v>26.28</v>
      </c>
      <c r="R22" s="3" t="s">
        <v>122</v>
      </c>
      <c r="S22" s="4" t="str">
        <f>IF($X$2="#14#",IF($F$1="&lt;NULL&gt;","-","-"),"-")</f>
        <v>-</v>
      </c>
      <c r="AI22" s="75" t="s">
        <v>1018</v>
      </c>
      <c r="AJ22" s="75" t="s">
        <v>1007</v>
      </c>
      <c r="AK22" s="40" t="s">
        <v>808</v>
      </c>
      <c r="AL22" s="38" t="s">
        <v>864</v>
      </c>
      <c r="AM22" s="38" t="s">
        <v>140</v>
      </c>
      <c r="AN22" s="38"/>
      <c r="AO22" s="38" t="s">
        <v>140</v>
      </c>
      <c r="AP22" s="38"/>
      <c r="AQ22" s="38" t="s">
        <v>140</v>
      </c>
      <c r="AR22" s="38"/>
      <c r="AT22" t="s">
        <v>193</v>
      </c>
      <c r="AU22" t="s">
        <v>176</v>
      </c>
      <c r="AV22">
        <v>3859</v>
      </c>
      <c r="AW22">
        <v>127</v>
      </c>
    </row>
    <row r="23" spans="1:69">
      <c r="E23" s="3" t="s">
        <v>7</v>
      </c>
      <c r="F23" s="2" t="s">
        <v>698</v>
      </c>
      <c r="G23" s="2" t="s">
        <v>698</v>
      </c>
      <c r="H23" s="2" t="s">
        <v>698</v>
      </c>
      <c r="I23" s="2" t="s">
        <v>698</v>
      </c>
      <c r="J23" s="2" t="s">
        <v>1114</v>
      </c>
      <c r="K23" s="2" t="n">
        <v>0.0</v>
      </c>
      <c r="L23" s="4" t="n">
        <v>0.0</v>
      </c>
      <c r="P23" s="68" t="s">
        <v>96</v>
      </c>
      <c r="Q23" s="27" t="str">
        <f>$D$8&amp;" "&amp;$D$6&amp;" "&amp;$F$43</f>
        <v xml:space="preserve">VERTIKAL VERTICALE JALOEZIE KONFIGURATION=S,CONTROLETYPE=S,MODEL=1R,SYSTEMKLUR=W,STOFBREEDTE=B2,BREEDTE [MM]=1330,BEDRIJFSKETEN=KW,BEDIENINGSLENGTE [MM]=1500,MOTAGE=D,CHILD SAFE=CS_NO</v>
      </c>
      <c r="R23" s="72" t="s">
        <v>129</v>
      </c>
      <c r="S23" s="4" t="str">
        <f>IF($X$2="#14#",IF($F$26="&lt;NULL&gt;","-",VLOOKUP($F$26,$BX:$BZ,3,FALSE)),"-")</f>
        <v>-</v>
      </c>
      <c r="AI23" s="75" t="s">
        <v>1019</v>
      </c>
      <c r="AJ23" s="75" t="s">
        <v>1007</v>
      </c>
      <c r="AK23" s="40" t="s">
        <v>809</v>
      </c>
      <c r="AL23" s="38" t="s">
        <v>865</v>
      </c>
      <c r="AM23" s="38" t="s">
        <v>140</v>
      </c>
      <c r="AN23" s="38"/>
      <c r="AO23" s="38" t="s">
        <v>140</v>
      </c>
      <c r="AP23" s="38"/>
      <c r="AQ23" s="38" t="s">
        <v>140</v>
      </c>
      <c r="AR23" s="38"/>
      <c r="AT23" t="s">
        <v>194</v>
      </c>
      <c r="AU23" t="s">
        <v>172</v>
      </c>
      <c r="AV23">
        <v>3860</v>
      </c>
      <c r="AW23">
        <v>127</v>
      </c>
    </row>
    <row r="24" spans="1:69">
      <c r="E24" s="3" t="s">
        <v>8</v>
      </c>
      <c r="F24" s="2" t="s">
        <v>698</v>
      </c>
      <c r="G24" s="2" t="s">
        <v>698</v>
      </c>
      <c r="H24" s="2" t="s">
        <v>698</v>
      </c>
      <c r="I24" s="2" t="s">
        <v>698</v>
      </c>
      <c r="J24" s="2" t="s">
        <v>1104</v>
      </c>
      <c r="K24" s="2" t="n">
        <v>0.0</v>
      </c>
      <c r="L24" s="4" t="n">
        <v>1.0</v>
      </c>
      <c r="P24" s="64" t="s">
        <v>69</v>
      </c>
      <c r="Q24" s="25" t="str">
        <f>$F$44</f>
        <v>LIJSTPRIJS [€] bruto=26.28</v>
      </c>
      <c r="R24" s="72" t="s">
        <v>137</v>
      </c>
      <c r="S24" s="4" t="str">
        <f>IF($X$2="#14#",IF($S$23="Obc1",($S$10*2)+10,"-"),"-")</f>
        <v>-</v>
      </c>
      <c r="AI24" s="75" t="s">
        <v>1020</v>
      </c>
      <c r="AJ24" s="75" t="s">
        <v>1007</v>
      </c>
      <c r="AK24" s="40" t="s">
        <v>810</v>
      </c>
      <c r="AL24" s="38" t="s">
        <v>866</v>
      </c>
      <c r="AM24" s="38" t="s">
        <v>140</v>
      </c>
      <c r="AN24" s="38"/>
      <c r="AO24" s="38" t="s">
        <v>140</v>
      </c>
      <c r="AP24" s="38"/>
      <c r="AQ24" s="38" t="s">
        <v>140</v>
      </c>
      <c r="AR24" s="38"/>
      <c r="AT24" t="s">
        <v>195</v>
      </c>
      <c r="AU24" t="s">
        <v>172</v>
      </c>
      <c r="AV24">
        <v>3870</v>
      </c>
      <c r="AW24">
        <v>127</v>
      </c>
    </row>
    <row r="25" spans="1:69" ht="15.75" thickBot="1">
      <c r="E25" s="3" t="s">
        <v>9</v>
      </c>
      <c r="F25" s="2" t="s">
        <v>698</v>
      </c>
      <c r="G25" s="21" t="s">
        <v>698</v>
      </c>
      <c r="H25" s="2" t="s">
        <v>698</v>
      </c>
      <c r="I25" s="2" t="s">
        <v>698</v>
      </c>
      <c r="J25" s="2" t="s">
        <v>1077</v>
      </c>
      <c r="K25" s="2" t="n">
        <v>0.0</v>
      </c>
      <c r="L25" s="4" t="n">
        <v>1.0</v>
      </c>
      <c r="P25" s="69" t="s">
        <v>70</v>
      </c>
      <c r="Q25" s="28" t="str">
        <f>$F$45</f>
        <v>&lt;NULL&gt;</v>
      </c>
      <c r="R25" s="72" t="s">
        <v>138</v>
      </c>
      <c r="S25" s="4" t="str">
        <f>IF($X$2="#14#",IF($F$27="&lt;NULL&gt;","-",VLOOKUP($F$27,$CH:$CJ,3,FALSE)),"-")</f>
        <v>-</v>
      </c>
      <c r="AI25" s="75" t="s">
        <v>1021</v>
      </c>
      <c r="AJ25" s="75" t="s">
        <v>1007</v>
      </c>
      <c r="AK25" s="40" t="s">
        <v>811</v>
      </c>
      <c r="AL25" s="38" t="s">
        <v>867</v>
      </c>
      <c r="AM25" s="38" t="s">
        <v>140</v>
      </c>
      <c r="AN25" s="38"/>
      <c r="AO25" s="38" t="s">
        <v>140</v>
      </c>
      <c r="AP25" s="38"/>
      <c r="AQ25" s="38" t="s">
        <v>140</v>
      </c>
      <c r="AR25" s="38"/>
      <c r="AT25" t="s">
        <v>196</v>
      </c>
      <c r="AU25" t="s">
        <v>189</v>
      </c>
      <c r="AV25">
        <v>3884</v>
      </c>
      <c r="AW25">
        <v>127</v>
      </c>
    </row>
    <row r="26" spans="1:69" ht="15.75" thickBot="1">
      <c r="E26" s="3" t="s">
        <v>154</v>
      </c>
      <c r="F26" s="2" t="s">
        <v>698</v>
      </c>
      <c r="G26" s="2" t="s">
        <v>698</v>
      </c>
      <c r="H26" s="2" t="s">
        <v>698</v>
      </c>
      <c r="I26" s="2" t="s">
        <v>698</v>
      </c>
      <c r="J26" s="2" t="s">
        <v>1088</v>
      </c>
      <c r="K26" s="2" t="n">
        <v>0.0</v>
      </c>
      <c r="L26" s="4" t="n">
        <v>1.0</v>
      </c>
      <c r="P26" s="70" t="s">
        <v>896</v>
      </c>
      <c r="Q26" t="str">
        <f>IF(ISERROR(FIND("#",$I$7,1)),"-",MID($I$7,FIND("#",$I$7,1)+1,20))</f>
        <v>-</v>
      </c>
      <c r="R26" s="73" t="s">
        <v>125</v>
      </c>
      <c r="S26" s="5" t="str">
        <f>IF($X$2="#14#",IF($F$2="&lt;NULL&gt;","-","T"),"-")</f>
        <v>-</v>
      </c>
      <c r="AI26" s="75" t="s">
        <v>1022</v>
      </c>
      <c r="AJ26" s="75" t="s">
        <v>1007</v>
      </c>
      <c r="AK26" s="40" t="s">
        <v>812</v>
      </c>
      <c r="AL26" s="38" t="s">
        <v>868</v>
      </c>
      <c r="AM26" s="38" t="s">
        <v>140</v>
      </c>
      <c r="AN26" s="38"/>
      <c r="AO26" s="38" t="s">
        <v>140</v>
      </c>
      <c r="AP26" s="38"/>
      <c r="AQ26" s="38" t="s">
        <v>140</v>
      </c>
      <c r="AR26" s="38"/>
      <c r="AT26" t="s">
        <v>197</v>
      </c>
      <c r="AU26" t="s">
        <v>172</v>
      </c>
      <c r="AV26">
        <v>3886</v>
      </c>
      <c r="AW26">
        <v>127</v>
      </c>
    </row>
    <row r="27" spans="1:69">
      <c r="E27" s="3" t="s">
        <v>155</v>
      </c>
      <c r="F27" s="2" t="s">
        <v>698</v>
      </c>
      <c r="G27" s="2" t="s">
        <v>698</v>
      </c>
      <c r="H27" s="2" t="s">
        <v>698</v>
      </c>
      <c r="I27" s="2" t="s">
        <v>698</v>
      </c>
      <c r="J27" s="2" t="s">
        <v>1094</v>
      </c>
      <c r="K27" s="2" t="n">
        <v>0.0</v>
      </c>
      <c r="L27" s="4" t="n">
        <v>1.0</v>
      </c>
      <c r="AI27" s="75" t="s">
        <v>1023</v>
      </c>
      <c r="AJ27" s="75" t="s">
        <v>1007</v>
      </c>
      <c r="AK27" s="40" t="s">
        <v>813</v>
      </c>
      <c r="AL27" s="38" t="s">
        <v>870</v>
      </c>
      <c r="AM27" s="38" t="s">
        <v>140</v>
      </c>
      <c r="AN27" s="38"/>
      <c r="AO27" s="38" t="s">
        <v>140</v>
      </c>
      <c r="AP27" s="38"/>
      <c r="AQ27" s="38" t="s">
        <v>140</v>
      </c>
      <c r="AR27" s="38"/>
      <c r="AT27" t="s">
        <v>198</v>
      </c>
      <c r="AU27" t="s">
        <v>172</v>
      </c>
      <c r="AV27">
        <v>3888</v>
      </c>
      <c r="AW27">
        <v>127</v>
      </c>
    </row>
    <row r="28" spans="1:69">
      <c r="E28" s="3" t="s">
        <v>13</v>
      </c>
      <c r="F28" s="2" t="s">
        <v>718</v>
      </c>
      <c r="G28" s="2" t="s">
        <v>1098</v>
      </c>
      <c r="H28" s="2" t="s">
        <v>698</v>
      </c>
      <c r="I28" s="2" t="s">
        <v>698</v>
      </c>
      <c r="J28" s="2" t="s">
        <v>1099</v>
      </c>
      <c r="K28" s="2" t="n">
        <v>1.0</v>
      </c>
      <c r="L28" s="4" t="n">
        <v>1.0</v>
      </c>
      <c r="AI28" s="75" t="s">
        <v>1024</v>
      </c>
      <c r="AJ28" s="75" t="s">
        <v>1007</v>
      </c>
      <c r="AK28" s="40" t="s">
        <v>814</v>
      </c>
      <c r="AL28" s="38" t="s">
        <v>869</v>
      </c>
      <c r="AM28" s="38" t="s">
        <v>140</v>
      </c>
      <c r="AN28" s="38"/>
      <c r="AO28" s="38" t="s">
        <v>140</v>
      </c>
      <c r="AP28" s="38"/>
      <c r="AQ28" s="38" t="s">
        <v>140</v>
      </c>
      <c r="AR28" s="38"/>
      <c r="AT28" t="s">
        <v>199</v>
      </c>
      <c r="AU28" t="s">
        <v>189</v>
      </c>
      <c r="AV28">
        <v>3895</v>
      </c>
      <c r="AW28">
        <v>127</v>
      </c>
    </row>
    <row r="29" spans="1:69">
      <c r="E29" s="3" t="s">
        <v>10</v>
      </c>
      <c r="F29" s="2" t="s">
        <v>901</v>
      </c>
      <c r="G29" s="2" t="s">
        <v>900</v>
      </c>
      <c r="H29" s="2" t="s">
        <v>698</v>
      </c>
      <c r="I29" s="2" t="s">
        <v>698</v>
      </c>
      <c r="J29" s="2" t="s">
        <v>1100</v>
      </c>
      <c r="K29" s="2" t="n">
        <v>1.0</v>
      </c>
      <c r="L29" s="4" t="n">
        <v>1.0</v>
      </c>
      <c r="AI29" s="75" t="s">
        <v>1025</v>
      </c>
      <c r="AJ29" s="75" t="s">
        <v>1007</v>
      </c>
      <c r="AK29" s="40" t="s">
        <v>815</v>
      </c>
      <c r="AL29" s="38" t="s">
        <v>871</v>
      </c>
      <c r="AM29" s="38" t="s">
        <v>140</v>
      </c>
      <c r="AN29" s="38"/>
      <c r="AO29" s="38" t="s">
        <v>140</v>
      </c>
      <c r="AP29" s="38"/>
      <c r="AQ29" s="38" t="s">
        <v>140</v>
      </c>
      <c r="AR29" s="38"/>
      <c r="AT29" t="s">
        <v>200</v>
      </c>
      <c r="AU29" t="s">
        <v>189</v>
      </c>
      <c r="AV29">
        <v>3907</v>
      </c>
      <c r="AW29">
        <v>127</v>
      </c>
    </row>
    <row r="30" spans="1:69">
      <c r="E30" s="3" t="s">
        <v>11</v>
      </c>
      <c r="F30" s="2" t="s">
        <v>698</v>
      </c>
      <c r="G30" s="2" t="s">
        <v>698</v>
      </c>
      <c r="H30" s="2" t="s">
        <v>698</v>
      </c>
      <c r="I30" s="2" t="s">
        <v>698</v>
      </c>
      <c r="J30" s="2" t="s">
        <v>1111</v>
      </c>
      <c r="K30" s="2" t="n">
        <v>0.0</v>
      </c>
      <c r="L30" s="4" t="n">
        <v>0.0</v>
      </c>
      <c r="AI30" s="75" t="s">
        <v>1026</v>
      </c>
      <c r="AJ30" s="75" t="s">
        <v>1007</v>
      </c>
      <c r="AK30" s="40" t="s">
        <v>816</v>
      </c>
      <c r="AL30" s="38" t="s">
        <v>872</v>
      </c>
      <c r="AM30" s="38" t="s">
        <v>140</v>
      </c>
      <c r="AN30" s="38"/>
      <c r="AO30" s="38" t="s">
        <v>140</v>
      </c>
      <c r="AP30" s="38"/>
      <c r="AQ30" s="38" t="s">
        <v>140</v>
      </c>
      <c r="AR30" s="38"/>
      <c r="AT30" t="s">
        <v>201</v>
      </c>
      <c r="AU30" t="s">
        <v>172</v>
      </c>
      <c r="AV30">
        <v>3908</v>
      </c>
      <c r="AW30">
        <v>127</v>
      </c>
    </row>
    <row r="31" spans="1:69">
      <c r="E31" s="3" t="s">
        <v>14</v>
      </c>
      <c r="F31" s="2" t="n">
        <v>0.0</v>
      </c>
      <c r="G31" s="2" t="s">
        <v>698</v>
      </c>
      <c r="H31" s="2" t="s">
        <v>698</v>
      </c>
      <c r="I31" s="2" t="s">
        <v>698</v>
      </c>
      <c r="J31" s="2" t="s">
        <v>1105</v>
      </c>
      <c r="K31" s="2" t="n">
        <v>0.0</v>
      </c>
      <c r="L31" s="4" t="n">
        <v>0.0</v>
      </c>
      <c r="AI31" s="75" t="s">
        <v>1027</v>
      </c>
      <c r="AJ31" s="75" t="s">
        <v>1007</v>
      </c>
      <c r="AK31" s="40" t="s">
        <v>817</v>
      </c>
      <c r="AL31" s="38" t="s">
        <v>873</v>
      </c>
      <c r="AM31" s="38" t="s">
        <v>140</v>
      </c>
      <c r="AN31" s="38"/>
      <c r="AO31" s="38" t="s">
        <v>140</v>
      </c>
      <c r="AP31" s="38"/>
      <c r="AQ31" s="38" t="s">
        <v>140</v>
      </c>
      <c r="AR31" s="38"/>
      <c r="AT31" t="s">
        <v>202</v>
      </c>
      <c r="AU31" t="s">
        <v>172</v>
      </c>
      <c r="AV31">
        <v>3956</v>
      </c>
      <c r="AW31">
        <v>127</v>
      </c>
    </row>
    <row r="32" spans="1:69">
      <c r="E32" s="61" t="s">
        <v>73</v>
      </c>
      <c r="F32" s="2"/>
      <c r="G32" s="2"/>
      <c r="H32" s="2"/>
      <c r="I32" s="2"/>
      <c r="J32" s="2"/>
      <c r="K32" s="2"/>
      <c r="L32" s="4"/>
      <c r="AI32" s="75" t="s">
        <v>1028</v>
      </c>
      <c r="AJ32" s="75" t="s">
        <v>1007</v>
      </c>
      <c r="AK32" s="40" t="s">
        <v>818</v>
      </c>
      <c r="AL32" s="38" t="s">
        <v>874</v>
      </c>
      <c r="AM32" s="38" t="s">
        <v>140</v>
      </c>
      <c r="AO32" s="38" t="s">
        <v>140</v>
      </c>
      <c r="AQ32" s="38" t="s">
        <v>140</v>
      </c>
      <c r="AT32" t="s">
        <v>203</v>
      </c>
      <c r="AU32" t="s">
        <v>189</v>
      </c>
      <c r="AV32">
        <v>3958</v>
      </c>
      <c r="AW32">
        <v>127</v>
      </c>
    </row>
    <row r="33" spans="5:49">
      <c r="E33" s="61" t="s">
        <v>74</v>
      </c>
      <c r="F33" s="2"/>
      <c r="G33" s="2"/>
      <c r="H33" s="2"/>
      <c r="I33" s="2"/>
      <c r="J33" s="2"/>
      <c r="K33" s="2"/>
      <c r="L33" s="4"/>
      <c r="AK33" s="40" t="s">
        <v>797</v>
      </c>
      <c r="AL33" s="39" t="s">
        <v>833</v>
      </c>
      <c r="AM33" s="40" t="s">
        <v>140</v>
      </c>
      <c r="AO33" s="38" t="s">
        <v>140</v>
      </c>
      <c r="AQ33" s="38" t="s">
        <v>140</v>
      </c>
      <c r="AT33" t="s">
        <v>204</v>
      </c>
      <c r="AU33" t="s">
        <v>189</v>
      </c>
      <c r="AV33">
        <v>3971</v>
      </c>
      <c r="AW33">
        <v>127</v>
      </c>
    </row>
    <row r="34" spans="5:49">
      <c r="E34" s="62" t="s">
        <v>15</v>
      </c>
      <c r="F34" s="2" t="n">
        <v>26.28</v>
      </c>
      <c r="G34" s="2" t="s">
        <v>698</v>
      </c>
      <c r="H34" s="2" t="s">
        <v>698</v>
      </c>
      <c r="I34" s="2" t="s">
        <v>698</v>
      </c>
      <c r="J34" s="2" t="s">
        <v>1081</v>
      </c>
      <c r="K34" s="2" t="n">
        <v>1.0</v>
      </c>
      <c r="L34" s="4" t="n">
        <v>0.0</v>
      </c>
      <c r="AK34" s="40" t="s">
        <v>798</v>
      </c>
      <c r="AL34" s="39" t="s">
        <v>835</v>
      </c>
      <c r="AM34" s="38" t="s">
        <v>140</v>
      </c>
      <c r="AO34" s="38" t="s">
        <v>140</v>
      </c>
      <c r="AQ34" s="38" t="s">
        <v>140</v>
      </c>
      <c r="AT34" t="s">
        <v>205</v>
      </c>
      <c r="AU34" t="s">
        <v>172</v>
      </c>
      <c r="AV34">
        <v>3992</v>
      </c>
      <c r="AW34">
        <v>127</v>
      </c>
    </row>
    <row r="35" spans="5:49">
      <c r="E35" s="62" t="s">
        <v>16</v>
      </c>
      <c r="F35" s="2" t="n">
        <v>0.0</v>
      </c>
      <c r="G35" s="2" t="s">
        <v>698</v>
      </c>
      <c r="H35" s="2" t="s">
        <v>698</v>
      </c>
      <c r="I35" s="2" t="s">
        <v>698</v>
      </c>
      <c r="J35" s="2" t="s">
        <v>1085</v>
      </c>
      <c r="K35" s="2" t="n">
        <v>1.0</v>
      </c>
      <c r="L35" s="4" t="n">
        <v>0.0</v>
      </c>
      <c r="AM35" s="38" t="s">
        <v>723</v>
      </c>
      <c r="AN35" s="38"/>
      <c r="AO35" s="38"/>
      <c r="AP35" s="38"/>
      <c r="AT35" t="s">
        <v>206</v>
      </c>
      <c r="AU35" t="s">
        <v>176</v>
      </c>
      <c r="AV35">
        <v>4000</v>
      </c>
      <c r="AW35">
        <v>127</v>
      </c>
    </row>
    <row r="36" spans="5:49">
      <c r="E36" s="62" t="s">
        <v>17</v>
      </c>
      <c r="F36" s="2" t="n">
        <v>0.0</v>
      </c>
      <c r="G36" s="2" t="s">
        <v>698</v>
      </c>
      <c r="H36" s="2" t="s">
        <v>698</v>
      </c>
      <c r="I36" s="2" t="s">
        <v>698</v>
      </c>
      <c r="J36" s="2" t="s">
        <v>1084</v>
      </c>
      <c r="K36" s="2" t="n">
        <v>0.0</v>
      </c>
      <c r="L36" s="4" t="n">
        <v>0.0</v>
      </c>
      <c r="AM36" s="38">
        <v>5</v>
      </c>
      <c r="AN36" s="38" t="s">
        <v>764</v>
      </c>
      <c r="AO36" s="38"/>
      <c r="AP36" s="38"/>
      <c r="AT36" t="s">
        <v>207</v>
      </c>
      <c r="AU36" t="s">
        <v>172</v>
      </c>
      <c r="AV36">
        <v>4001</v>
      </c>
      <c r="AW36">
        <v>127</v>
      </c>
    </row>
    <row r="37" spans="5:49">
      <c r="E37" s="62" t="s">
        <v>18</v>
      </c>
      <c r="F37" s="2" t="n">
        <v>26.28</v>
      </c>
      <c r="G37" s="2" t="s">
        <v>698</v>
      </c>
      <c r="H37" s="2" t="s">
        <v>698</v>
      </c>
      <c r="I37" s="2" t="s">
        <v>698</v>
      </c>
      <c r="J37" s="2" t="s">
        <v>1080</v>
      </c>
      <c r="K37" s="2" t="n">
        <v>1.0</v>
      </c>
      <c r="L37" s="4" t="n">
        <v>0.0</v>
      </c>
      <c r="AT37" t="s">
        <v>208</v>
      </c>
      <c r="AU37" t="s">
        <v>172</v>
      </c>
      <c r="AV37">
        <v>4002</v>
      </c>
      <c r="AW37">
        <v>127</v>
      </c>
    </row>
    <row r="38" spans="5:49">
      <c r="E38" s="62" t="s">
        <v>19</v>
      </c>
      <c r="F38" s="2" t="n">
        <v>26.28</v>
      </c>
      <c r="G38" s="2" t="s">
        <v>698</v>
      </c>
      <c r="H38" s="2" t="s">
        <v>698</v>
      </c>
      <c r="I38" s="2" t="s">
        <v>698</v>
      </c>
      <c r="J38" s="2" t="s">
        <v>1107</v>
      </c>
      <c r="K38" s="2" t="n">
        <v>1.0</v>
      </c>
      <c r="L38" s="4" t="n">
        <v>0.0</v>
      </c>
      <c r="AT38" t="s">
        <v>209</v>
      </c>
      <c r="AU38" t="s">
        <v>189</v>
      </c>
      <c r="AV38">
        <v>4003</v>
      </c>
      <c r="AW38">
        <v>127</v>
      </c>
    </row>
    <row r="39" spans="5:49">
      <c r="E39" s="62" t="s">
        <v>20</v>
      </c>
      <c r="F39" s="2" t="n">
        <v>0.0</v>
      </c>
      <c r="G39" s="2" t="s">
        <v>698</v>
      </c>
      <c r="H39" s="2" t="s">
        <v>698</v>
      </c>
      <c r="I39" s="2" t="s">
        <v>698</v>
      </c>
      <c r="J39" s="2" t="s">
        <v>1079</v>
      </c>
      <c r="K39" s="2" t="n">
        <v>0.0</v>
      </c>
      <c r="L39" s="4" t="n">
        <v>0.0</v>
      </c>
      <c r="AT39" t="s">
        <v>210</v>
      </c>
      <c r="AU39" t="s">
        <v>189</v>
      </c>
      <c r="AV39">
        <v>4004</v>
      </c>
      <c r="AW39">
        <v>127</v>
      </c>
    </row>
    <row r="40" spans="5:49">
      <c r="E40" s="62" t="s">
        <v>21</v>
      </c>
      <c r="F40" s="2" t="n">
        <v>0.0</v>
      </c>
      <c r="G40" s="2" t="s">
        <v>698</v>
      </c>
      <c r="H40" s="2" t="s">
        <v>698</v>
      </c>
      <c r="I40" s="2" t="s">
        <v>698</v>
      </c>
      <c r="J40" s="2" t="s">
        <v>1083</v>
      </c>
      <c r="K40" s="2" t="n">
        <v>0.0</v>
      </c>
      <c r="L40" s="4" t="n">
        <v>0.0</v>
      </c>
      <c r="AT40" t="s">
        <v>211</v>
      </c>
      <c r="AU40" t="s">
        <v>189</v>
      </c>
      <c r="AV40">
        <v>4005</v>
      </c>
      <c r="AW40">
        <v>127</v>
      </c>
    </row>
    <row r="41" spans="5:49">
      <c r="E41" s="62" t="s">
        <v>22</v>
      </c>
      <c r="F41" s="2" t="n">
        <v>26.28</v>
      </c>
      <c r="G41" s="2" t="s">
        <v>698</v>
      </c>
      <c r="H41" s="2" t="s">
        <v>698</v>
      </c>
      <c r="I41" s="2" t="s">
        <v>698</v>
      </c>
      <c r="J41" s="2" t="s">
        <v>1078</v>
      </c>
      <c r="K41" s="2" t="n">
        <v>0.0</v>
      </c>
      <c r="L41" s="4" t="n">
        <v>0.0</v>
      </c>
      <c r="AT41" t="s">
        <v>212</v>
      </c>
      <c r="AU41" t="s">
        <v>170</v>
      </c>
      <c r="AV41">
        <v>4006</v>
      </c>
      <c r="AW41">
        <v>127</v>
      </c>
    </row>
    <row r="42" spans="5:49">
      <c r="E42" s="3" t="s">
        <v>23</v>
      </c>
      <c r="F42" s="56" t="n">
        <v>26.28</v>
      </c>
      <c r="G42" s="56" t="s">
        <v>698</v>
      </c>
      <c r="H42" s="2" t="s">
        <v>698</v>
      </c>
      <c r="I42" s="2" t="s">
        <v>698</v>
      </c>
      <c r="J42" s="2" t="s">
        <v>1109</v>
      </c>
      <c r="K42" s="2" t="n">
        <v>0.0</v>
      </c>
      <c r="L42" s="4" t="n">
        <v>0.0</v>
      </c>
      <c r="AT42" t="s">
        <v>213</v>
      </c>
      <c r="AU42" t="s">
        <v>170</v>
      </c>
      <c r="AV42">
        <v>4007</v>
      </c>
      <c r="AW42">
        <v>127</v>
      </c>
    </row>
    <row r="43" spans="5:49">
      <c r="E43" s="3" t="s">
        <v>75</v>
      </c>
      <c r="F43" s="56" t="s">
        <v>1153</v>
      </c>
      <c r="G43" s="56" t="s">
        <v>698</v>
      </c>
      <c r="H43" s="2" t="s">
        <v>698</v>
      </c>
      <c r="I43" s="2" t="s">
        <v>698</v>
      </c>
      <c r="J43" s="2" t="s">
        <v>75</v>
      </c>
      <c r="K43" s="2" t="n">
        <v>0.0</v>
      </c>
      <c r="L43" s="4" t="n">
        <v>0.0</v>
      </c>
      <c r="AT43" t="s">
        <v>214</v>
      </c>
      <c r="AU43" t="s">
        <v>170</v>
      </c>
      <c r="AV43">
        <v>4008</v>
      </c>
      <c r="AW43">
        <v>127</v>
      </c>
    </row>
    <row r="44" spans="5:49">
      <c r="E44" s="3" t="s">
        <v>970</v>
      </c>
      <c r="F44" s="2" t="s">
        <v>1131</v>
      </c>
      <c r="G44" s="2" t="s">
        <v>698</v>
      </c>
      <c r="H44" s="2" t="s">
        <v>698</v>
      </c>
      <c r="I44" s="2" t="s">
        <v>698</v>
      </c>
      <c r="J44" s="2" t="s">
        <v>970</v>
      </c>
      <c r="K44" s="2" t="n">
        <v>0.0</v>
      </c>
      <c r="L44" s="4" t="n">
        <v>0.0</v>
      </c>
      <c r="AT44" t="s">
        <v>215</v>
      </c>
      <c r="AU44" t="s">
        <v>170</v>
      </c>
      <c r="AV44">
        <v>4009</v>
      </c>
      <c r="AW44">
        <v>127</v>
      </c>
    </row>
    <row r="45" spans="5:49" ht="15.75" thickBot="1">
      <c r="E45" s="58" t="s">
        <v>971</v>
      </c>
      <c r="F45" s="11" t="s">
        <v>698</v>
      </c>
      <c r="G45" s="11" t="s">
        <v>698</v>
      </c>
      <c r="H45" s="11" t="s">
        <v>698</v>
      </c>
      <c r="I45" s="11" t="s">
        <v>698</v>
      </c>
      <c r="J45" s="11" t="s">
        <v>971</v>
      </c>
      <c r="K45" s="11" t="n">
        <v>0.0</v>
      </c>
      <c r="L45" s="5" t="n">
        <v>0.0</v>
      </c>
      <c r="AT45" t="s">
        <v>216</v>
      </c>
      <c r="AU45" t="s">
        <v>189</v>
      </c>
      <c r="AV45">
        <v>4022</v>
      </c>
      <c r="AW45">
        <v>127</v>
      </c>
    </row>
    <row r="46" spans="5:49">
      <c r="E46"/>
      <c r="AT46" t="s">
        <v>217</v>
      </c>
      <c r="AU46" t="s">
        <v>189</v>
      </c>
      <c r="AV46">
        <v>4023</v>
      </c>
      <c r="AW46">
        <v>127</v>
      </c>
    </row>
    <row r="47" spans="5:49">
      <c r="AT47" t="s">
        <v>218</v>
      </c>
      <c r="AU47" t="s">
        <v>189</v>
      </c>
      <c r="AV47">
        <v>4024</v>
      </c>
      <c r="AW47">
        <v>127</v>
      </c>
    </row>
    <row r="48" spans="5:49">
      <c r="AT48" t="s">
        <v>219</v>
      </c>
      <c r="AU48" t="s">
        <v>189</v>
      </c>
      <c r="AV48">
        <v>4025</v>
      </c>
      <c r="AW48">
        <v>127</v>
      </c>
    </row>
    <row r="49" spans="46:49">
      <c r="AT49" t="s">
        <v>220</v>
      </c>
      <c r="AU49" t="s">
        <v>189</v>
      </c>
      <c r="AV49">
        <v>4026</v>
      </c>
      <c r="AW49">
        <v>127</v>
      </c>
    </row>
    <row r="50" spans="46:49">
      <c r="AT50" t="s">
        <v>221</v>
      </c>
      <c r="AU50" t="s">
        <v>189</v>
      </c>
      <c r="AV50">
        <v>4027</v>
      </c>
      <c r="AW50">
        <v>127</v>
      </c>
    </row>
    <row r="51" spans="46:49">
      <c r="AT51" t="s">
        <v>222</v>
      </c>
      <c r="AU51" t="s">
        <v>189</v>
      </c>
      <c r="AV51">
        <v>4028</v>
      </c>
      <c r="AW51">
        <v>127</v>
      </c>
    </row>
    <row r="52" spans="46:49">
      <c r="AT52" t="s">
        <v>223</v>
      </c>
      <c r="AU52" t="s">
        <v>189</v>
      </c>
      <c r="AV52">
        <v>4029</v>
      </c>
      <c r="AW52">
        <v>127</v>
      </c>
    </row>
    <row r="53" spans="46:49">
      <c r="AT53" t="s">
        <v>224</v>
      </c>
      <c r="AU53" t="s">
        <v>189</v>
      </c>
      <c r="AV53">
        <v>4030</v>
      </c>
      <c r="AW53">
        <v>127</v>
      </c>
    </row>
    <row r="54" spans="46:49">
      <c r="AT54" t="s">
        <v>225</v>
      </c>
      <c r="AU54" t="s">
        <v>189</v>
      </c>
      <c r="AV54">
        <v>4031</v>
      </c>
      <c r="AW54">
        <v>127</v>
      </c>
    </row>
    <row r="55" spans="46:49">
      <c r="AT55" t="s">
        <v>226</v>
      </c>
      <c r="AU55" t="s">
        <v>189</v>
      </c>
      <c r="AV55">
        <v>4032</v>
      </c>
      <c r="AW55">
        <v>127</v>
      </c>
    </row>
    <row r="56" spans="46:49">
      <c r="AT56" t="s">
        <v>227</v>
      </c>
      <c r="AU56" t="s">
        <v>189</v>
      </c>
      <c r="AV56">
        <v>4033</v>
      </c>
      <c r="AW56">
        <v>127</v>
      </c>
    </row>
    <row r="57" spans="46:49">
      <c r="AT57" t="s">
        <v>228</v>
      </c>
      <c r="AU57" t="s">
        <v>189</v>
      </c>
      <c r="AV57">
        <v>4034</v>
      </c>
      <c r="AW57">
        <v>127</v>
      </c>
    </row>
    <row r="58" spans="46:49">
      <c r="AT58" t="s">
        <v>229</v>
      </c>
      <c r="AU58" t="s">
        <v>170</v>
      </c>
      <c r="AV58">
        <v>4035</v>
      </c>
      <c r="AW58">
        <v>127</v>
      </c>
    </row>
    <row r="59" spans="46:49">
      <c r="AT59" t="s">
        <v>230</v>
      </c>
      <c r="AU59" t="s">
        <v>170</v>
      </c>
      <c r="AV59">
        <v>4036</v>
      </c>
      <c r="AW59">
        <v>127</v>
      </c>
    </row>
    <row r="60" spans="46:49">
      <c r="AT60" t="s">
        <v>231</v>
      </c>
      <c r="AU60" t="s">
        <v>170</v>
      </c>
      <c r="AV60">
        <v>4037</v>
      </c>
      <c r="AW60">
        <v>127</v>
      </c>
    </row>
    <row r="61" spans="46:49">
      <c r="AT61" t="s">
        <v>232</v>
      </c>
      <c r="AU61" t="s">
        <v>170</v>
      </c>
      <c r="AV61">
        <v>4038</v>
      </c>
      <c r="AW61">
        <v>127</v>
      </c>
    </row>
    <row r="62" spans="46:49">
      <c r="AT62" t="s">
        <v>233</v>
      </c>
      <c r="AU62" t="s">
        <v>170</v>
      </c>
      <c r="AV62">
        <v>4039</v>
      </c>
      <c r="AW62">
        <v>127</v>
      </c>
    </row>
    <row r="63" spans="46:49">
      <c r="AT63" t="s">
        <v>234</v>
      </c>
      <c r="AU63" t="s">
        <v>170</v>
      </c>
      <c r="AV63">
        <v>4040</v>
      </c>
      <c r="AW63">
        <v>127</v>
      </c>
    </row>
    <row r="64" spans="46:49">
      <c r="AT64" t="s">
        <v>235</v>
      </c>
      <c r="AU64" t="s">
        <v>170</v>
      </c>
      <c r="AV64">
        <v>4041</v>
      </c>
      <c r="AW64">
        <v>127</v>
      </c>
    </row>
    <row r="65" spans="18:49">
      <c r="AT65" t="s">
        <v>236</v>
      </c>
      <c r="AU65" t="s">
        <v>170</v>
      </c>
      <c r="AV65">
        <v>4042</v>
      </c>
      <c r="AW65">
        <v>127</v>
      </c>
    </row>
    <row r="66" spans="18:49">
      <c r="AT66" t="s">
        <v>237</v>
      </c>
      <c r="AU66" t="s">
        <v>170</v>
      </c>
      <c r="AV66">
        <v>4043</v>
      </c>
      <c r="AW66">
        <v>127</v>
      </c>
    </row>
    <row r="67" spans="18:49">
      <c r="AT67" t="s">
        <v>238</v>
      </c>
      <c r="AU67" t="s">
        <v>170</v>
      </c>
      <c r="AV67">
        <v>4044</v>
      </c>
      <c r="AW67">
        <v>127</v>
      </c>
    </row>
    <row r="68" spans="18:49">
      <c r="R68" s="38"/>
      <c r="S68" s="30"/>
      <c r="AT68" t="s">
        <v>239</v>
      </c>
      <c r="AU68" t="s">
        <v>170</v>
      </c>
      <c r="AV68">
        <v>4045</v>
      </c>
      <c r="AW68">
        <v>127</v>
      </c>
    </row>
    <row r="69" spans="18:49">
      <c r="R69" s="38"/>
      <c r="S69" s="30"/>
      <c r="AT69" t="s">
        <v>240</v>
      </c>
      <c r="AU69" t="s">
        <v>170</v>
      </c>
      <c r="AV69">
        <v>4046</v>
      </c>
      <c r="AW69">
        <v>127</v>
      </c>
    </row>
    <row r="70" spans="18:49">
      <c r="R70" s="38"/>
      <c r="S70" s="30"/>
      <c r="AT70" t="s">
        <v>241</v>
      </c>
      <c r="AU70" t="s">
        <v>170</v>
      </c>
      <c r="AV70">
        <v>4047</v>
      </c>
      <c r="AW70">
        <v>127</v>
      </c>
    </row>
    <row r="71" spans="18:49">
      <c r="R71" s="38"/>
      <c r="S71" s="30"/>
      <c r="AT71" t="s">
        <v>242</v>
      </c>
      <c r="AU71" t="s">
        <v>170</v>
      </c>
      <c r="AV71">
        <v>4048</v>
      </c>
      <c r="AW71">
        <v>127</v>
      </c>
    </row>
    <row r="72" spans="18:49">
      <c r="AT72" t="s">
        <v>243</v>
      </c>
      <c r="AU72" t="s">
        <v>170</v>
      </c>
      <c r="AV72">
        <v>4049</v>
      </c>
      <c r="AW72">
        <v>127</v>
      </c>
    </row>
    <row r="73" spans="18:49">
      <c r="AT73" t="s">
        <v>244</v>
      </c>
      <c r="AU73" t="s">
        <v>170</v>
      </c>
      <c r="AV73">
        <v>4050</v>
      </c>
      <c r="AW73">
        <v>127</v>
      </c>
    </row>
    <row r="74" spans="18:49">
      <c r="AT74" t="s">
        <v>245</v>
      </c>
      <c r="AU74" t="s">
        <v>170</v>
      </c>
      <c r="AV74">
        <v>4051</v>
      </c>
      <c r="AW74">
        <v>127</v>
      </c>
    </row>
    <row r="75" spans="18:49">
      <c r="AT75" t="s">
        <v>246</v>
      </c>
      <c r="AU75" t="s">
        <v>170</v>
      </c>
      <c r="AV75">
        <v>4052</v>
      </c>
      <c r="AW75">
        <v>127</v>
      </c>
    </row>
    <row r="76" spans="18:49">
      <c r="AT76" t="s">
        <v>247</v>
      </c>
      <c r="AU76" t="s">
        <v>170</v>
      </c>
      <c r="AV76">
        <v>4053</v>
      </c>
      <c r="AW76">
        <v>127</v>
      </c>
    </row>
    <row r="77" spans="18:49">
      <c r="AT77" t="s">
        <v>248</v>
      </c>
      <c r="AU77" t="s">
        <v>170</v>
      </c>
      <c r="AV77">
        <v>4054</v>
      </c>
      <c r="AW77">
        <v>127</v>
      </c>
    </row>
    <row r="78" spans="18:49">
      <c r="AT78" t="s">
        <v>249</v>
      </c>
      <c r="AU78" t="s">
        <v>176</v>
      </c>
      <c r="AV78">
        <v>4067</v>
      </c>
      <c r="AW78">
        <v>127</v>
      </c>
    </row>
    <row r="79" spans="18:49">
      <c r="AT79" t="s">
        <v>250</v>
      </c>
      <c r="AU79" t="s">
        <v>176</v>
      </c>
      <c r="AV79">
        <v>4068</v>
      </c>
      <c r="AW79">
        <v>127</v>
      </c>
    </row>
    <row r="80" spans="18:49">
      <c r="AT80" t="s">
        <v>251</v>
      </c>
      <c r="AU80" t="s">
        <v>176</v>
      </c>
      <c r="AV80">
        <v>4069</v>
      </c>
      <c r="AW80">
        <v>127</v>
      </c>
    </row>
    <row r="81" spans="46:49">
      <c r="AT81" t="s">
        <v>252</v>
      </c>
      <c r="AU81" t="s">
        <v>176</v>
      </c>
      <c r="AV81">
        <v>4070</v>
      </c>
      <c r="AW81">
        <v>127</v>
      </c>
    </row>
    <row r="82" spans="46:49">
      <c r="AT82" t="s">
        <v>253</v>
      </c>
      <c r="AU82" t="s">
        <v>176</v>
      </c>
      <c r="AV82">
        <v>4071</v>
      </c>
      <c r="AW82">
        <v>127</v>
      </c>
    </row>
    <row r="83" spans="46:49">
      <c r="AT83" t="s">
        <v>254</v>
      </c>
      <c r="AU83" t="s">
        <v>176</v>
      </c>
      <c r="AV83">
        <v>4072</v>
      </c>
      <c r="AW83">
        <v>127</v>
      </c>
    </row>
    <row r="84" spans="46:49">
      <c r="AT84" t="s">
        <v>255</v>
      </c>
      <c r="AU84" t="s">
        <v>176</v>
      </c>
      <c r="AV84">
        <v>4073</v>
      </c>
      <c r="AW84">
        <v>127</v>
      </c>
    </row>
    <row r="85" spans="46:49">
      <c r="AT85" t="s">
        <v>256</v>
      </c>
      <c r="AU85" t="s">
        <v>176</v>
      </c>
      <c r="AV85">
        <v>4074</v>
      </c>
      <c r="AW85">
        <v>127</v>
      </c>
    </row>
    <row r="86" spans="46:49">
      <c r="AT86" t="s">
        <v>257</v>
      </c>
      <c r="AU86" t="s">
        <v>176</v>
      </c>
      <c r="AV86">
        <v>4075</v>
      </c>
      <c r="AW86">
        <v>127</v>
      </c>
    </row>
    <row r="87" spans="46:49">
      <c r="AT87" t="s">
        <v>258</v>
      </c>
      <c r="AU87" t="s">
        <v>170</v>
      </c>
      <c r="AV87">
        <v>4080</v>
      </c>
      <c r="AW87">
        <v>127</v>
      </c>
    </row>
    <row r="88" spans="46:49">
      <c r="AT88" t="s">
        <v>259</v>
      </c>
      <c r="AU88" t="s">
        <v>170</v>
      </c>
      <c r="AV88">
        <v>4081</v>
      </c>
      <c r="AW88">
        <v>127</v>
      </c>
    </row>
    <row r="89" spans="46:49">
      <c r="AT89" t="s">
        <v>260</v>
      </c>
      <c r="AU89" t="s">
        <v>170</v>
      </c>
      <c r="AV89">
        <v>4082</v>
      </c>
      <c r="AW89">
        <v>127</v>
      </c>
    </row>
    <row r="90" spans="46:49">
      <c r="AT90" t="s">
        <v>261</v>
      </c>
      <c r="AU90" t="s">
        <v>189</v>
      </c>
      <c r="AV90">
        <v>4083</v>
      </c>
      <c r="AW90">
        <v>127</v>
      </c>
    </row>
    <row r="91" spans="46:49">
      <c r="AT91" t="s">
        <v>262</v>
      </c>
      <c r="AU91" t="s">
        <v>189</v>
      </c>
      <c r="AV91">
        <v>4085</v>
      </c>
      <c r="AW91">
        <v>127</v>
      </c>
    </row>
    <row r="92" spans="46:49">
      <c r="AT92" t="s">
        <v>263</v>
      </c>
      <c r="AU92" t="s">
        <v>189</v>
      </c>
      <c r="AV92">
        <v>4086</v>
      </c>
      <c r="AW92">
        <v>127</v>
      </c>
    </row>
    <row r="93" spans="46:49">
      <c r="AT93" t="s">
        <v>264</v>
      </c>
      <c r="AU93" t="s">
        <v>189</v>
      </c>
      <c r="AV93">
        <v>4087</v>
      </c>
      <c r="AW93">
        <v>127</v>
      </c>
    </row>
    <row r="94" spans="46:49">
      <c r="AT94" t="s">
        <v>265</v>
      </c>
      <c r="AU94" t="s">
        <v>189</v>
      </c>
      <c r="AV94">
        <v>4088</v>
      </c>
      <c r="AW94">
        <v>127</v>
      </c>
    </row>
    <row r="95" spans="46:49">
      <c r="AT95" t="s">
        <v>266</v>
      </c>
      <c r="AU95" t="s">
        <v>189</v>
      </c>
      <c r="AV95">
        <v>4089</v>
      </c>
      <c r="AW95">
        <v>127</v>
      </c>
    </row>
    <row r="96" spans="46:49">
      <c r="AT96" t="s">
        <v>267</v>
      </c>
      <c r="AU96" t="s">
        <v>189</v>
      </c>
      <c r="AV96">
        <v>4090</v>
      </c>
      <c r="AW96">
        <v>127</v>
      </c>
    </row>
    <row r="97" spans="46:49">
      <c r="AT97" t="s">
        <v>268</v>
      </c>
      <c r="AU97" t="s">
        <v>189</v>
      </c>
      <c r="AV97">
        <v>4091</v>
      </c>
      <c r="AW97">
        <v>127</v>
      </c>
    </row>
    <row r="98" spans="46:49">
      <c r="AT98" t="s">
        <v>269</v>
      </c>
      <c r="AU98" t="s">
        <v>180</v>
      </c>
      <c r="AV98">
        <v>4093</v>
      </c>
      <c r="AW98">
        <v>127</v>
      </c>
    </row>
    <row r="99" spans="46:49">
      <c r="AT99" t="s">
        <v>270</v>
      </c>
      <c r="AU99" t="s">
        <v>180</v>
      </c>
      <c r="AV99">
        <v>4094</v>
      </c>
      <c r="AW99">
        <v>127</v>
      </c>
    </row>
    <row r="100" spans="46:49">
      <c r="AT100" t="s">
        <v>271</v>
      </c>
      <c r="AU100" t="s">
        <v>180</v>
      </c>
      <c r="AV100">
        <v>4095</v>
      </c>
      <c r="AW100">
        <v>127</v>
      </c>
    </row>
    <row r="101" spans="46:49">
      <c r="AT101" t="s">
        <v>272</v>
      </c>
      <c r="AU101" t="s">
        <v>180</v>
      </c>
      <c r="AV101">
        <v>4096</v>
      </c>
      <c r="AW101">
        <v>127</v>
      </c>
    </row>
    <row r="102" spans="46:49">
      <c r="AT102" t="s">
        <v>273</v>
      </c>
      <c r="AU102" t="s">
        <v>180</v>
      </c>
      <c r="AV102">
        <v>4097</v>
      </c>
      <c r="AW102">
        <v>127</v>
      </c>
    </row>
    <row r="103" spans="46:49">
      <c r="AT103" t="s">
        <v>274</v>
      </c>
      <c r="AU103" t="s">
        <v>180</v>
      </c>
      <c r="AV103">
        <v>4098</v>
      </c>
      <c r="AW103">
        <v>127</v>
      </c>
    </row>
    <row r="104" spans="46:49">
      <c r="AT104" t="s">
        <v>275</v>
      </c>
      <c r="AU104" t="s">
        <v>180</v>
      </c>
      <c r="AV104">
        <v>4099</v>
      </c>
      <c r="AW104">
        <v>127</v>
      </c>
    </row>
    <row r="105" spans="46:49">
      <c r="AT105" t="s">
        <v>276</v>
      </c>
      <c r="AU105" t="s">
        <v>180</v>
      </c>
      <c r="AV105">
        <v>4100</v>
      </c>
      <c r="AW105">
        <v>127</v>
      </c>
    </row>
    <row r="106" spans="46:49">
      <c r="AT106" t="s">
        <v>277</v>
      </c>
      <c r="AU106" t="s">
        <v>172</v>
      </c>
      <c r="AV106">
        <v>4101</v>
      </c>
      <c r="AW106">
        <v>127</v>
      </c>
    </row>
    <row r="107" spans="46:49">
      <c r="AT107" t="s">
        <v>278</v>
      </c>
      <c r="AU107" t="s">
        <v>172</v>
      </c>
      <c r="AV107">
        <v>4102</v>
      </c>
      <c r="AW107">
        <v>127</v>
      </c>
    </row>
    <row r="108" spans="46:49">
      <c r="AT108" t="s">
        <v>279</v>
      </c>
      <c r="AU108" t="s">
        <v>172</v>
      </c>
      <c r="AV108">
        <v>4103</v>
      </c>
      <c r="AW108">
        <v>127</v>
      </c>
    </row>
    <row r="109" spans="46:49">
      <c r="AT109" t="s">
        <v>280</v>
      </c>
      <c r="AU109" t="s">
        <v>172</v>
      </c>
      <c r="AV109">
        <v>4104</v>
      </c>
      <c r="AW109">
        <v>127</v>
      </c>
    </row>
    <row r="110" spans="46:49">
      <c r="AT110" t="s">
        <v>281</v>
      </c>
      <c r="AU110" t="s">
        <v>172</v>
      </c>
      <c r="AV110">
        <v>4105</v>
      </c>
      <c r="AW110">
        <v>127</v>
      </c>
    </row>
    <row r="111" spans="46:49">
      <c r="AT111" t="s">
        <v>282</v>
      </c>
      <c r="AU111" t="s">
        <v>172</v>
      </c>
      <c r="AV111">
        <v>4106</v>
      </c>
      <c r="AW111">
        <v>127</v>
      </c>
    </row>
    <row r="112" spans="46:49">
      <c r="AT112" t="s">
        <v>283</v>
      </c>
      <c r="AU112" t="s">
        <v>180</v>
      </c>
      <c r="AV112">
        <v>4107</v>
      </c>
      <c r="AW112">
        <v>127</v>
      </c>
    </row>
    <row r="113" spans="46:49">
      <c r="AT113" t="s">
        <v>284</v>
      </c>
      <c r="AU113" t="s">
        <v>180</v>
      </c>
      <c r="AV113">
        <v>4108</v>
      </c>
      <c r="AW113">
        <v>127</v>
      </c>
    </row>
    <row r="114" spans="46:49">
      <c r="AT114" t="s">
        <v>285</v>
      </c>
      <c r="AU114" t="s">
        <v>180</v>
      </c>
      <c r="AV114">
        <v>4109</v>
      </c>
      <c r="AW114">
        <v>127</v>
      </c>
    </row>
    <row r="115" spans="46:49">
      <c r="AT115" t="s">
        <v>286</v>
      </c>
      <c r="AU115" t="s">
        <v>170</v>
      </c>
      <c r="AV115">
        <v>4110</v>
      </c>
      <c r="AW115">
        <v>127</v>
      </c>
    </row>
    <row r="116" spans="46:49">
      <c r="AT116" t="s">
        <v>287</v>
      </c>
      <c r="AU116" t="s">
        <v>180</v>
      </c>
      <c r="AV116">
        <v>4111</v>
      </c>
      <c r="AW116">
        <v>127</v>
      </c>
    </row>
    <row r="117" spans="46:49">
      <c r="AT117" t="s">
        <v>288</v>
      </c>
      <c r="AU117" t="s">
        <v>180</v>
      </c>
      <c r="AV117">
        <v>4112</v>
      </c>
      <c r="AW117">
        <v>127</v>
      </c>
    </row>
    <row r="118" spans="46:49">
      <c r="AT118" t="s">
        <v>289</v>
      </c>
      <c r="AU118" t="s">
        <v>180</v>
      </c>
      <c r="AV118">
        <v>4113</v>
      </c>
      <c r="AW118">
        <v>127</v>
      </c>
    </row>
    <row r="119" spans="46:49">
      <c r="AT119" t="s">
        <v>290</v>
      </c>
      <c r="AU119" t="s">
        <v>180</v>
      </c>
      <c r="AV119">
        <v>4114</v>
      </c>
      <c r="AW119">
        <v>127</v>
      </c>
    </row>
    <row r="120" spans="46:49">
      <c r="AT120" t="s">
        <v>291</v>
      </c>
      <c r="AU120" t="s">
        <v>172</v>
      </c>
      <c r="AV120">
        <v>4115</v>
      </c>
      <c r="AW120">
        <v>127</v>
      </c>
    </row>
    <row r="121" spans="46:49">
      <c r="AT121" t="s">
        <v>292</v>
      </c>
      <c r="AU121" t="s">
        <v>172</v>
      </c>
      <c r="AV121">
        <v>4117</v>
      </c>
      <c r="AW121">
        <v>127</v>
      </c>
    </row>
    <row r="122" spans="46:49">
      <c r="AT122" t="s">
        <v>293</v>
      </c>
      <c r="AU122" t="s">
        <v>170</v>
      </c>
      <c r="AV122">
        <v>4118</v>
      </c>
      <c r="AW122">
        <v>127</v>
      </c>
    </row>
    <row r="123" spans="46:49">
      <c r="AT123" t="s">
        <v>294</v>
      </c>
      <c r="AU123" t="s">
        <v>172</v>
      </c>
      <c r="AV123">
        <v>4120</v>
      </c>
      <c r="AW123">
        <v>127</v>
      </c>
    </row>
    <row r="124" spans="46:49">
      <c r="AT124" t="s">
        <v>295</v>
      </c>
      <c r="AU124" t="s">
        <v>172</v>
      </c>
      <c r="AV124">
        <v>4121</v>
      </c>
      <c r="AW124">
        <v>127</v>
      </c>
    </row>
    <row r="125" spans="46:49">
      <c r="AT125" t="s">
        <v>296</v>
      </c>
      <c r="AU125" t="s">
        <v>172</v>
      </c>
      <c r="AV125">
        <v>4123</v>
      </c>
      <c r="AW125">
        <v>127</v>
      </c>
    </row>
    <row r="126" spans="46:49">
      <c r="AT126" t="s">
        <v>297</v>
      </c>
      <c r="AU126" t="s">
        <v>172</v>
      </c>
      <c r="AV126">
        <v>4124</v>
      </c>
      <c r="AW126">
        <v>127</v>
      </c>
    </row>
    <row r="127" spans="46:49">
      <c r="AT127" t="s">
        <v>298</v>
      </c>
      <c r="AU127" t="s">
        <v>172</v>
      </c>
      <c r="AV127">
        <v>4125</v>
      </c>
      <c r="AW127">
        <v>127</v>
      </c>
    </row>
    <row r="128" spans="46:49">
      <c r="AT128" t="s">
        <v>299</v>
      </c>
      <c r="AU128" t="s">
        <v>172</v>
      </c>
      <c r="AV128">
        <v>4126</v>
      </c>
      <c r="AW128">
        <v>127</v>
      </c>
    </row>
    <row r="129" spans="46:49">
      <c r="AT129" t="s">
        <v>300</v>
      </c>
      <c r="AU129" t="s">
        <v>172</v>
      </c>
      <c r="AV129">
        <v>4128</v>
      </c>
      <c r="AW129">
        <v>127</v>
      </c>
    </row>
    <row r="130" spans="46:49">
      <c r="AT130" t="s">
        <v>301</v>
      </c>
      <c r="AU130" t="s">
        <v>170</v>
      </c>
      <c r="AV130">
        <v>4129</v>
      </c>
      <c r="AW130">
        <v>127</v>
      </c>
    </row>
    <row r="131" spans="46:49">
      <c r="AT131" t="s">
        <v>302</v>
      </c>
      <c r="AU131" t="s">
        <v>170</v>
      </c>
      <c r="AV131">
        <v>4132</v>
      </c>
      <c r="AW131">
        <v>127</v>
      </c>
    </row>
    <row r="132" spans="46:49">
      <c r="AT132" t="s">
        <v>303</v>
      </c>
      <c r="AU132" t="s">
        <v>170</v>
      </c>
      <c r="AV132">
        <v>4133</v>
      </c>
      <c r="AW132">
        <v>127</v>
      </c>
    </row>
    <row r="133" spans="46:49">
      <c r="AT133" t="s">
        <v>304</v>
      </c>
      <c r="AU133" t="s">
        <v>170</v>
      </c>
      <c r="AV133">
        <v>4134</v>
      </c>
      <c r="AW133">
        <v>127</v>
      </c>
    </row>
    <row r="134" spans="46:49">
      <c r="AT134" t="s">
        <v>305</v>
      </c>
      <c r="AU134" t="s">
        <v>180</v>
      </c>
      <c r="AV134">
        <v>4135</v>
      </c>
      <c r="AW134">
        <v>127</v>
      </c>
    </row>
    <row r="135" spans="46:49">
      <c r="AT135" t="s">
        <v>306</v>
      </c>
      <c r="AU135" t="s">
        <v>180</v>
      </c>
      <c r="AV135">
        <v>4136</v>
      </c>
      <c r="AW135">
        <v>127</v>
      </c>
    </row>
    <row r="136" spans="46:49">
      <c r="AT136" t="s">
        <v>307</v>
      </c>
      <c r="AU136" t="s">
        <v>170</v>
      </c>
      <c r="AV136">
        <v>4142</v>
      </c>
      <c r="AW136">
        <v>127</v>
      </c>
    </row>
    <row r="137" spans="46:49">
      <c r="AT137" t="s">
        <v>308</v>
      </c>
      <c r="AU137" t="s">
        <v>309</v>
      </c>
      <c r="AV137">
        <v>4143</v>
      </c>
      <c r="AW137">
        <v>127</v>
      </c>
    </row>
    <row r="138" spans="46:49">
      <c r="AT138" t="s">
        <v>310</v>
      </c>
      <c r="AU138" t="s">
        <v>309</v>
      </c>
      <c r="AV138">
        <v>4145</v>
      </c>
      <c r="AW138">
        <v>127</v>
      </c>
    </row>
    <row r="139" spans="46:49">
      <c r="AT139" t="s">
        <v>311</v>
      </c>
      <c r="AU139" t="s">
        <v>170</v>
      </c>
      <c r="AV139">
        <v>4156</v>
      </c>
      <c r="AW139">
        <v>127</v>
      </c>
    </row>
    <row r="140" spans="46:49">
      <c r="AT140" t="s">
        <v>312</v>
      </c>
      <c r="AU140" t="s">
        <v>170</v>
      </c>
      <c r="AV140">
        <v>4157</v>
      </c>
      <c r="AW140">
        <v>127</v>
      </c>
    </row>
    <row r="141" spans="46:49">
      <c r="AT141" t="s">
        <v>313</v>
      </c>
      <c r="AU141" t="s">
        <v>170</v>
      </c>
      <c r="AV141">
        <v>4158</v>
      </c>
      <c r="AW141">
        <v>127</v>
      </c>
    </row>
    <row r="142" spans="46:49">
      <c r="AT142" t="s">
        <v>314</v>
      </c>
      <c r="AU142" t="s">
        <v>170</v>
      </c>
      <c r="AV142">
        <v>4159</v>
      </c>
      <c r="AW142">
        <v>127</v>
      </c>
    </row>
    <row r="143" spans="46:49">
      <c r="AT143" t="s">
        <v>315</v>
      </c>
      <c r="AU143" t="s">
        <v>170</v>
      </c>
      <c r="AV143">
        <v>4161</v>
      </c>
      <c r="AW143">
        <v>127</v>
      </c>
    </row>
    <row r="144" spans="46:49">
      <c r="AT144" t="s">
        <v>316</v>
      </c>
      <c r="AU144" t="s">
        <v>170</v>
      </c>
      <c r="AV144">
        <v>4164</v>
      </c>
      <c r="AW144">
        <v>127</v>
      </c>
    </row>
    <row r="145" spans="46:49">
      <c r="AT145" t="s">
        <v>317</v>
      </c>
      <c r="AU145" t="s">
        <v>170</v>
      </c>
      <c r="AV145">
        <v>4165</v>
      </c>
      <c r="AW145">
        <v>127</v>
      </c>
    </row>
    <row r="146" spans="46:49">
      <c r="AT146" t="s">
        <v>318</v>
      </c>
      <c r="AU146" t="s">
        <v>170</v>
      </c>
      <c r="AV146">
        <v>4166</v>
      </c>
      <c r="AW146">
        <v>127</v>
      </c>
    </row>
    <row r="147" spans="46:49">
      <c r="AT147" t="s">
        <v>319</v>
      </c>
      <c r="AU147" t="s">
        <v>170</v>
      </c>
      <c r="AV147">
        <v>4171</v>
      </c>
      <c r="AW147">
        <v>127</v>
      </c>
    </row>
    <row r="148" spans="46:49">
      <c r="AT148" t="s">
        <v>320</v>
      </c>
      <c r="AU148" t="s">
        <v>170</v>
      </c>
      <c r="AV148">
        <v>4173</v>
      </c>
      <c r="AW148">
        <v>127</v>
      </c>
    </row>
    <row r="149" spans="46:49">
      <c r="AT149" t="s">
        <v>321</v>
      </c>
      <c r="AU149" t="s">
        <v>170</v>
      </c>
      <c r="AV149">
        <v>4174</v>
      </c>
      <c r="AW149">
        <v>127</v>
      </c>
    </row>
    <row r="150" spans="46:49">
      <c r="AT150" t="s">
        <v>322</v>
      </c>
      <c r="AU150" t="s">
        <v>189</v>
      </c>
      <c r="AV150">
        <v>4176</v>
      </c>
      <c r="AW150">
        <v>127</v>
      </c>
    </row>
    <row r="151" spans="46:49">
      <c r="AT151" t="s">
        <v>323</v>
      </c>
      <c r="AU151" t="s">
        <v>189</v>
      </c>
      <c r="AV151">
        <v>4177</v>
      </c>
      <c r="AW151">
        <v>127</v>
      </c>
    </row>
    <row r="152" spans="46:49">
      <c r="AT152" t="s">
        <v>324</v>
      </c>
      <c r="AU152" t="s">
        <v>189</v>
      </c>
      <c r="AV152">
        <v>4178</v>
      </c>
      <c r="AW152">
        <v>127</v>
      </c>
    </row>
    <row r="153" spans="46:49">
      <c r="AT153" t="s">
        <v>325</v>
      </c>
      <c r="AU153" t="s">
        <v>189</v>
      </c>
      <c r="AV153">
        <v>4179</v>
      </c>
      <c r="AW153">
        <v>127</v>
      </c>
    </row>
    <row r="154" spans="46:49">
      <c r="AT154" t="s">
        <v>326</v>
      </c>
      <c r="AU154" t="s">
        <v>189</v>
      </c>
      <c r="AV154">
        <v>4180</v>
      </c>
      <c r="AW154">
        <v>127</v>
      </c>
    </row>
    <row r="155" spans="46:49">
      <c r="AT155" t="s">
        <v>327</v>
      </c>
      <c r="AU155" t="s">
        <v>172</v>
      </c>
      <c r="AV155">
        <v>4181</v>
      </c>
      <c r="AW155">
        <v>127</v>
      </c>
    </row>
    <row r="156" spans="46:49">
      <c r="AT156" t="s">
        <v>328</v>
      </c>
      <c r="AU156" t="s">
        <v>172</v>
      </c>
      <c r="AV156">
        <v>4182</v>
      </c>
      <c r="AW156">
        <v>127</v>
      </c>
    </row>
    <row r="157" spans="46:49">
      <c r="AT157" t="s">
        <v>329</v>
      </c>
      <c r="AU157" t="s">
        <v>172</v>
      </c>
      <c r="AV157">
        <v>4183</v>
      </c>
      <c r="AW157">
        <v>127</v>
      </c>
    </row>
    <row r="158" spans="46:49">
      <c r="AT158" t="s">
        <v>330</v>
      </c>
      <c r="AU158" t="s">
        <v>172</v>
      </c>
      <c r="AV158">
        <v>4184</v>
      </c>
      <c r="AW158">
        <v>127</v>
      </c>
    </row>
    <row r="159" spans="46:49">
      <c r="AT159" t="s">
        <v>331</v>
      </c>
      <c r="AU159" t="s">
        <v>172</v>
      </c>
      <c r="AV159">
        <v>4186</v>
      </c>
      <c r="AW159">
        <v>127</v>
      </c>
    </row>
    <row r="160" spans="46:49">
      <c r="AT160" t="s">
        <v>332</v>
      </c>
      <c r="AU160" t="s">
        <v>176</v>
      </c>
      <c r="AV160">
        <v>4187</v>
      </c>
      <c r="AW160">
        <v>127</v>
      </c>
    </row>
    <row r="161" spans="46:49">
      <c r="AT161" t="s">
        <v>333</v>
      </c>
      <c r="AU161" t="s">
        <v>176</v>
      </c>
      <c r="AV161">
        <v>4188</v>
      </c>
      <c r="AW161">
        <v>127</v>
      </c>
    </row>
    <row r="162" spans="46:49">
      <c r="AT162" t="s">
        <v>334</v>
      </c>
      <c r="AU162" t="s">
        <v>176</v>
      </c>
      <c r="AV162">
        <v>4189</v>
      </c>
      <c r="AW162">
        <v>127</v>
      </c>
    </row>
    <row r="163" spans="46:49">
      <c r="AT163" t="s">
        <v>335</v>
      </c>
      <c r="AU163" t="s">
        <v>176</v>
      </c>
      <c r="AV163">
        <v>4190</v>
      </c>
      <c r="AW163">
        <v>127</v>
      </c>
    </row>
    <row r="164" spans="46:49">
      <c r="AT164" t="s">
        <v>336</v>
      </c>
      <c r="AU164" t="s">
        <v>176</v>
      </c>
      <c r="AV164">
        <v>4191</v>
      </c>
      <c r="AW164">
        <v>127</v>
      </c>
    </row>
    <row r="165" spans="46:49">
      <c r="AT165" t="s">
        <v>337</v>
      </c>
      <c r="AU165" t="s">
        <v>176</v>
      </c>
      <c r="AV165">
        <v>4193</v>
      </c>
      <c r="AW165">
        <v>127</v>
      </c>
    </row>
    <row r="166" spans="46:49">
      <c r="AT166" t="s">
        <v>338</v>
      </c>
      <c r="AU166" t="s">
        <v>176</v>
      </c>
      <c r="AV166">
        <v>4194</v>
      </c>
      <c r="AW166">
        <v>127</v>
      </c>
    </row>
    <row r="167" spans="46:49">
      <c r="AT167" t="s">
        <v>339</v>
      </c>
      <c r="AU167" t="s">
        <v>170</v>
      </c>
      <c r="AV167">
        <v>4195</v>
      </c>
      <c r="AW167">
        <v>127</v>
      </c>
    </row>
    <row r="168" spans="46:49">
      <c r="AT168" t="s">
        <v>340</v>
      </c>
      <c r="AU168" t="s">
        <v>180</v>
      </c>
      <c r="AV168">
        <v>4198</v>
      </c>
      <c r="AW168">
        <v>127</v>
      </c>
    </row>
    <row r="169" spans="46:49">
      <c r="AT169" t="s">
        <v>341</v>
      </c>
      <c r="AU169" t="s">
        <v>180</v>
      </c>
      <c r="AV169">
        <v>4199</v>
      </c>
      <c r="AW169">
        <v>127</v>
      </c>
    </row>
    <row r="170" spans="46:49">
      <c r="AT170" t="s">
        <v>342</v>
      </c>
      <c r="AU170" t="s">
        <v>180</v>
      </c>
      <c r="AV170">
        <v>4200</v>
      </c>
      <c r="AW170">
        <v>127</v>
      </c>
    </row>
    <row r="171" spans="46:49">
      <c r="AT171" t="s">
        <v>343</v>
      </c>
      <c r="AU171" t="s">
        <v>180</v>
      </c>
      <c r="AV171">
        <v>4201</v>
      </c>
      <c r="AW171">
        <v>127</v>
      </c>
    </row>
    <row r="172" spans="46:49">
      <c r="AT172" t="s">
        <v>344</v>
      </c>
      <c r="AU172" t="s">
        <v>180</v>
      </c>
      <c r="AV172">
        <v>4202</v>
      </c>
      <c r="AW172">
        <v>127</v>
      </c>
    </row>
    <row r="173" spans="46:49">
      <c r="AT173" t="s">
        <v>345</v>
      </c>
      <c r="AU173" t="s">
        <v>180</v>
      </c>
      <c r="AV173">
        <v>4203</v>
      </c>
      <c r="AW173">
        <v>127</v>
      </c>
    </row>
    <row r="174" spans="46:49">
      <c r="AT174" t="s">
        <v>346</v>
      </c>
      <c r="AU174" t="s">
        <v>172</v>
      </c>
      <c r="AV174">
        <v>4204</v>
      </c>
      <c r="AW174">
        <v>127</v>
      </c>
    </row>
    <row r="175" spans="46:49">
      <c r="AT175" t="s">
        <v>347</v>
      </c>
      <c r="AU175" t="s">
        <v>172</v>
      </c>
      <c r="AV175">
        <v>4205</v>
      </c>
      <c r="AW175">
        <v>127</v>
      </c>
    </row>
    <row r="176" spans="46:49">
      <c r="AT176" t="s">
        <v>348</v>
      </c>
      <c r="AU176" t="s">
        <v>172</v>
      </c>
      <c r="AV176">
        <v>4206</v>
      </c>
      <c r="AW176">
        <v>127</v>
      </c>
    </row>
    <row r="177" spans="46:49">
      <c r="AT177" t="s">
        <v>349</v>
      </c>
      <c r="AU177" t="s">
        <v>172</v>
      </c>
      <c r="AV177">
        <v>4207</v>
      </c>
      <c r="AW177">
        <v>127</v>
      </c>
    </row>
    <row r="178" spans="46:49">
      <c r="AT178" t="s">
        <v>350</v>
      </c>
      <c r="AU178" t="s">
        <v>180</v>
      </c>
      <c r="AV178">
        <v>4208</v>
      </c>
      <c r="AW178">
        <v>127</v>
      </c>
    </row>
    <row r="179" spans="46:49">
      <c r="AT179" t="s">
        <v>351</v>
      </c>
      <c r="AU179" t="s">
        <v>172</v>
      </c>
      <c r="AV179">
        <v>4209</v>
      </c>
      <c r="AW179">
        <v>127</v>
      </c>
    </row>
    <row r="180" spans="46:49">
      <c r="AT180" t="s">
        <v>352</v>
      </c>
      <c r="AU180" t="s">
        <v>170</v>
      </c>
      <c r="AV180">
        <v>4211</v>
      </c>
      <c r="AW180">
        <v>127</v>
      </c>
    </row>
    <row r="181" spans="46:49">
      <c r="AT181" t="s">
        <v>353</v>
      </c>
      <c r="AU181" t="s">
        <v>170</v>
      </c>
      <c r="AV181">
        <v>4212</v>
      </c>
      <c r="AW181">
        <v>127</v>
      </c>
    </row>
    <row r="182" spans="46:49">
      <c r="AT182" t="s">
        <v>354</v>
      </c>
      <c r="AU182" t="s">
        <v>170</v>
      </c>
      <c r="AV182">
        <v>4213</v>
      </c>
      <c r="AW182">
        <v>127</v>
      </c>
    </row>
    <row r="183" spans="46:49">
      <c r="AT183" t="s">
        <v>355</v>
      </c>
      <c r="AU183" t="s">
        <v>170</v>
      </c>
      <c r="AV183">
        <v>4214</v>
      </c>
      <c r="AW183">
        <v>127</v>
      </c>
    </row>
    <row r="184" spans="46:49">
      <c r="AT184" t="s">
        <v>356</v>
      </c>
      <c r="AU184" t="s">
        <v>170</v>
      </c>
      <c r="AV184">
        <v>4215</v>
      </c>
      <c r="AW184">
        <v>127</v>
      </c>
    </row>
    <row r="185" spans="46:49">
      <c r="AT185" t="s">
        <v>357</v>
      </c>
      <c r="AU185" t="s">
        <v>170</v>
      </c>
      <c r="AV185">
        <v>4216</v>
      </c>
      <c r="AW185">
        <v>127</v>
      </c>
    </row>
    <row r="186" spans="46:49">
      <c r="AT186" t="s">
        <v>358</v>
      </c>
      <c r="AU186" t="s">
        <v>170</v>
      </c>
      <c r="AV186">
        <v>4217</v>
      </c>
      <c r="AW186">
        <v>127</v>
      </c>
    </row>
    <row r="187" spans="46:49">
      <c r="AT187" t="s">
        <v>359</v>
      </c>
      <c r="AU187" t="s">
        <v>309</v>
      </c>
      <c r="AV187">
        <v>4218</v>
      </c>
      <c r="AW187">
        <v>127</v>
      </c>
    </row>
    <row r="188" spans="46:49">
      <c r="AT188" t="s">
        <v>360</v>
      </c>
      <c r="AU188" t="s">
        <v>309</v>
      </c>
      <c r="AV188">
        <v>4219</v>
      </c>
      <c r="AW188">
        <v>127</v>
      </c>
    </row>
    <row r="189" spans="46:49">
      <c r="AT189" t="s">
        <v>361</v>
      </c>
      <c r="AU189" t="s">
        <v>309</v>
      </c>
      <c r="AV189">
        <v>4220</v>
      </c>
      <c r="AW189">
        <v>127</v>
      </c>
    </row>
    <row r="190" spans="46:49">
      <c r="AT190" t="s">
        <v>362</v>
      </c>
      <c r="AU190" t="s">
        <v>309</v>
      </c>
      <c r="AV190">
        <v>4221</v>
      </c>
      <c r="AW190">
        <v>127</v>
      </c>
    </row>
    <row r="191" spans="46:49">
      <c r="AT191" t="s">
        <v>363</v>
      </c>
      <c r="AU191" t="s">
        <v>309</v>
      </c>
      <c r="AV191">
        <v>4222</v>
      </c>
      <c r="AW191">
        <v>127</v>
      </c>
    </row>
    <row r="192" spans="46:49">
      <c r="AT192" t="s">
        <v>364</v>
      </c>
      <c r="AU192" t="s">
        <v>170</v>
      </c>
      <c r="AV192">
        <v>4223</v>
      </c>
      <c r="AW192">
        <v>127</v>
      </c>
    </row>
    <row r="193" spans="46:49">
      <c r="AT193" t="s">
        <v>365</v>
      </c>
      <c r="AU193" t="s">
        <v>170</v>
      </c>
      <c r="AV193">
        <v>4224</v>
      </c>
      <c r="AW193">
        <v>127</v>
      </c>
    </row>
    <row r="194" spans="46:49">
      <c r="AT194" t="s">
        <v>366</v>
      </c>
      <c r="AU194" t="s">
        <v>189</v>
      </c>
      <c r="AV194">
        <v>4225</v>
      </c>
      <c r="AW194">
        <v>127</v>
      </c>
    </row>
    <row r="195" spans="46:49">
      <c r="AT195" t="s">
        <v>367</v>
      </c>
      <c r="AU195" t="s">
        <v>189</v>
      </c>
      <c r="AV195">
        <v>4226</v>
      </c>
      <c r="AW195">
        <v>127</v>
      </c>
    </row>
    <row r="196" spans="46:49">
      <c r="AT196" t="s">
        <v>368</v>
      </c>
      <c r="AU196" t="s">
        <v>189</v>
      </c>
      <c r="AV196">
        <v>4227</v>
      </c>
      <c r="AW196">
        <v>127</v>
      </c>
    </row>
    <row r="197" spans="46:49">
      <c r="AT197" t="s">
        <v>369</v>
      </c>
      <c r="AU197" t="s">
        <v>189</v>
      </c>
      <c r="AV197">
        <v>4231</v>
      </c>
      <c r="AW197">
        <v>127</v>
      </c>
    </row>
    <row r="198" spans="46:49">
      <c r="AT198" t="s">
        <v>370</v>
      </c>
      <c r="AU198" t="s">
        <v>189</v>
      </c>
      <c r="AV198">
        <v>4232</v>
      </c>
      <c r="AW198">
        <v>127</v>
      </c>
    </row>
    <row r="199" spans="46:49">
      <c r="AT199" t="s">
        <v>371</v>
      </c>
      <c r="AU199" t="s">
        <v>176</v>
      </c>
      <c r="AV199">
        <v>4241</v>
      </c>
      <c r="AW199">
        <v>127</v>
      </c>
    </row>
    <row r="200" spans="46:49">
      <c r="AT200" t="s">
        <v>372</v>
      </c>
      <c r="AU200" t="s">
        <v>176</v>
      </c>
      <c r="AV200">
        <v>4242</v>
      </c>
      <c r="AW200">
        <v>127</v>
      </c>
    </row>
    <row r="201" spans="46:49">
      <c r="AT201" t="s">
        <v>373</v>
      </c>
      <c r="AU201" t="s">
        <v>176</v>
      </c>
      <c r="AV201">
        <v>4243</v>
      </c>
      <c r="AW201">
        <v>127</v>
      </c>
    </row>
    <row r="202" spans="46:49">
      <c r="AT202" t="s">
        <v>374</v>
      </c>
      <c r="AU202" t="s">
        <v>180</v>
      </c>
      <c r="AV202">
        <v>4244</v>
      </c>
      <c r="AW202">
        <v>127</v>
      </c>
    </row>
    <row r="203" spans="46:49">
      <c r="AT203" t="s">
        <v>375</v>
      </c>
      <c r="AU203" t="s">
        <v>180</v>
      </c>
      <c r="AV203">
        <v>4245</v>
      </c>
      <c r="AW203">
        <v>127</v>
      </c>
    </row>
    <row r="204" spans="46:49">
      <c r="AT204" t="s">
        <v>376</v>
      </c>
      <c r="AU204" t="s">
        <v>180</v>
      </c>
      <c r="AV204">
        <v>4247</v>
      </c>
      <c r="AW204">
        <v>127</v>
      </c>
    </row>
    <row r="205" spans="46:49">
      <c r="AT205" t="s">
        <v>377</v>
      </c>
      <c r="AU205" t="s">
        <v>180</v>
      </c>
      <c r="AV205">
        <v>4248</v>
      </c>
      <c r="AW205">
        <v>127</v>
      </c>
    </row>
    <row r="206" spans="46:49">
      <c r="AT206" t="s">
        <v>378</v>
      </c>
      <c r="AU206" t="s">
        <v>172</v>
      </c>
      <c r="AV206">
        <v>4249</v>
      </c>
      <c r="AW206">
        <v>127</v>
      </c>
    </row>
    <row r="207" spans="46:49">
      <c r="AT207" t="s">
        <v>379</v>
      </c>
      <c r="AU207" t="s">
        <v>172</v>
      </c>
      <c r="AV207">
        <v>4250</v>
      </c>
      <c r="AW207">
        <v>127</v>
      </c>
    </row>
    <row r="208" spans="46:49">
      <c r="AT208" t="s">
        <v>380</v>
      </c>
      <c r="AU208" t="s">
        <v>309</v>
      </c>
      <c r="AV208">
        <v>4251</v>
      </c>
      <c r="AW208">
        <v>127</v>
      </c>
    </row>
    <row r="209" spans="46:49">
      <c r="AT209" t="s">
        <v>381</v>
      </c>
      <c r="AU209" t="s">
        <v>309</v>
      </c>
      <c r="AV209">
        <v>4252</v>
      </c>
      <c r="AW209">
        <v>127</v>
      </c>
    </row>
    <row r="210" spans="46:49">
      <c r="AT210" t="s">
        <v>382</v>
      </c>
      <c r="AU210" t="s">
        <v>309</v>
      </c>
      <c r="AV210">
        <v>4253</v>
      </c>
      <c r="AW210">
        <v>127</v>
      </c>
    </row>
    <row r="211" spans="46:49">
      <c r="AT211" t="s">
        <v>383</v>
      </c>
      <c r="AU211" t="s">
        <v>170</v>
      </c>
      <c r="AV211">
        <v>4254</v>
      </c>
      <c r="AW211">
        <v>127</v>
      </c>
    </row>
    <row r="212" spans="46:49">
      <c r="AT212" t="s">
        <v>384</v>
      </c>
      <c r="AU212" t="s">
        <v>170</v>
      </c>
      <c r="AV212">
        <v>4255</v>
      </c>
      <c r="AW212">
        <v>127</v>
      </c>
    </row>
    <row r="213" spans="46:49">
      <c r="AT213" t="s">
        <v>385</v>
      </c>
      <c r="AU213" t="s">
        <v>170</v>
      </c>
      <c r="AV213">
        <v>4256</v>
      </c>
      <c r="AW213">
        <v>127</v>
      </c>
    </row>
    <row r="214" spans="46:49">
      <c r="AT214" t="s">
        <v>386</v>
      </c>
      <c r="AU214" t="s">
        <v>170</v>
      </c>
      <c r="AV214">
        <v>4257</v>
      </c>
      <c r="AW214">
        <v>127</v>
      </c>
    </row>
    <row r="215" spans="46:49">
      <c r="AT215" t="s">
        <v>387</v>
      </c>
      <c r="AU215" t="s">
        <v>170</v>
      </c>
      <c r="AV215">
        <v>4258</v>
      </c>
      <c r="AW215">
        <v>127</v>
      </c>
    </row>
    <row r="216" spans="46:49">
      <c r="AT216" t="s">
        <v>388</v>
      </c>
      <c r="AU216" t="s">
        <v>170</v>
      </c>
      <c r="AV216">
        <v>4259</v>
      </c>
      <c r="AW216">
        <v>127</v>
      </c>
    </row>
    <row r="217" spans="46:49">
      <c r="AT217" t="s">
        <v>389</v>
      </c>
      <c r="AU217" t="s">
        <v>170</v>
      </c>
      <c r="AV217">
        <v>4260</v>
      </c>
      <c r="AW217">
        <v>127</v>
      </c>
    </row>
    <row r="218" spans="46:49">
      <c r="AT218" t="s">
        <v>390</v>
      </c>
      <c r="AU218" t="s">
        <v>309</v>
      </c>
      <c r="AV218">
        <v>4261</v>
      </c>
      <c r="AW218">
        <v>127</v>
      </c>
    </row>
    <row r="219" spans="46:49">
      <c r="AT219" t="s">
        <v>391</v>
      </c>
      <c r="AU219" t="s">
        <v>172</v>
      </c>
      <c r="AV219">
        <v>4262</v>
      </c>
      <c r="AW219">
        <v>127</v>
      </c>
    </row>
    <row r="220" spans="46:49">
      <c r="AT220" t="s">
        <v>392</v>
      </c>
      <c r="AU220" t="s">
        <v>172</v>
      </c>
      <c r="AV220">
        <v>4263</v>
      </c>
      <c r="AW220">
        <v>127</v>
      </c>
    </row>
    <row r="221" spans="46:49">
      <c r="AT221" t="s">
        <v>393</v>
      </c>
      <c r="AU221" t="s">
        <v>172</v>
      </c>
      <c r="AV221">
        <v>4264</v>
      </c>
      <c r="AW221">
        <v>127</v>
      </c>
    </row>
    <row r="222" spans="46:49">
      <c r="AT222" t="s">
        <v>394</v>
      </c>
      <c r="AU222" t="s">
        <v>172</v>
      </c>
      <c r="AV222">
        <v>4265</v>
      </c>
      <c r="AW222">
        <v>127</v>
      </c>
    </row>
    <row r="223" spans="46:49">
      <c r="AT223" t="s">
        <v>395</v>
      </c>
      <c r="AU223" t="s">
        <v>172</v>
      </c>
      <c r="AV223">
        <v>4266</v>
      </c>
      <c r="AW223">
        <v>127</v>
      </c>
    </row>
    <row r="224" spans="46:49">
      <c r="AT224" t="s">
        <v>396</v>
      </c>
      <c r="AU224" t="s">
        <v>172</v>
      </c>
      <c r="AV224">
        <v>4267</v>
      </c>
      <c r="AW224">
        <v>127</v>
      </c>
    </row>
    <row r="225" spans="46:49">
      <c r="AT225" t="s">
        <v>397</v>
      </c>
      <c r="AU225" t="s">
        <v>309</v>
      </c>
      <c r="AV225">
        <v>4282</v>
      </c>
      <c r="AW225">
        <v>127</v>
      </c>
    </row>
    <row r="226" spans="46:49">
      <c r="AT226" t="s">
        <v>398</v>
      </c>
      <c r="AU226" t="s">
        <v>180</v>
      </c>
      <c r="AV226">
        <v>4283</v>
      </c>
      <c r="AW226">
        <v>127</v>
      </c>
    </row>
    <row r="227" spans="46:49">
      <c r="AT227" t="s">
        <v>399</v>
      </c>
      <c r="AU227" t="s">
        <v>309</v>
      </c>
      <c r="AV227">
        <v>4284</v>
      </c>
      <c r="AW227">
        <v>127</v>
      </c>
    </row>
    <row r="228" spans="46:49">
      <c r="AT228" t="s">
        <v>400</v>
      </c>
      <c r="AU228" t="s">
        <v>170</v>
      </c>
      <c r="AV228">
        <v>6110</v>
      </c>
      <c r="AW228">
        <v>127</v>
      </c>
    </row>
    <row r="229" spans="46:49">
      <c r="AT229" t="s">
        <v>401</v>
      </c>
      <c r="AU229" t="s">
        <v>170</v>
      </c>
      <c r="AV229">
        <v>6116</v>
      </c>
      <c r="AW229">
        <v>127</v>
      </c>
    </row>
    <row r="230" spans="46:49">
      <c r="AT230" t="s">
        <v>402</v>
      </c>
      <c r="AU230" t="s">
        <v>170</v>
      </c>
      <c r="AV230">
        <v>6148</v>
      </c>
      <c r="AW230">
        <v>127</v>
      </c>
    </row>
    <row r="231" spans="46:49">
      <c r="AT231" t="s">
        <v>403</v>
      </c>
      <c r="AU231" t="s">
        <v>309</v>
      </c>
      <c r="AV231" t="s">
        <v>972</v>
      </c>
      <c r="AW231">
        <v>127</v>
      </c>
    </row>
    <row r="232" spans="46:49">
      <c r="AT232" t="s">
        <v>404</v>
      </c>
      <c r="AU232" t="s">
        <v>309</v>
      </c>
      <c r="AV232">
        <v>6208</v>
      </c>
      <c r="AW232">
        <v>127</v>
      </c>
    </row>
    <row r="233" spans="46:49">
      <c r="AT233" t="s">
        <v>405</v>
      </c>
      <c r="AU233" t="s">
        <v>170</v>
      </c>
      <c r="AV233">
        <v>6212</v>
      </c>
      <c r="AW233">
        <v>127</v>
      </c>
    </row>
    <row r="234" spans="46:49">
      <c r="AT234" t="s">
        <v>406</v>
      </c>
      <c r="AU234" t="s">
        <v>309</v>
      </c>
      <c r="AV234">
        <v>6217</v>
      </c>
      <c r="AW234">
        <v>127</v>
      </c>
    </row>
    <row r="235" spans="46:49">
      <c r="AT235" t="s">
        <v>407</v>
      </c>
      <c r="AU235" t="s">
        <v>170</v>
      </c>
      <c r="AV235">
        <v>6235</v>
      </c>
      <c r="AW235">
        <v>127</v>
      </c>
    </row>
    <row r="236" spans="46:49">
      <c r="AT236" t="s">
        <v>408</v>
      </c>
      <c r="AU236" t="s">
        <v>309</v>
      </c>
      <c r="AV236">
        <v>6238</v>
      </c>
      <c r="AW236">
        <v>127</v>
      </c>
    </row>
    <row r="237" spans="46:49">
      <c r="AT237" t="s">
        <v>409</v>
      </c>
      <c r="AU237" t="s">
        <v>309</v>
      </c>
      <c r="AV237">
        <v>6240</v>
      </c>
      <c r="AW237">
        <v>127</v>
      </c>
    </row>
    <row r="238" spans="46:49">
      <c r="AT238" t="s">
        <v>410</v>
      </c>
      <c r="AU238" t="s">
        <v>170</v>
      </c>
      <c r="AV238">
        <v>6242</v>
      </c>
      <c r="AW238">
        <v>127</v>
      </c>
    </row>
    <row r="239" spans="46:49">
      <c r="AT239" t="s">
        <v>411</v>
      </c>
      <c r="AU239" t="s">
        <v>170</v>
      </c>
      <c r="AV239">
        <v>6296</v>
      </c>
      <c r="AW239">
        <v>127</v>
      </c>
    </row>
    <row r="240" spans="46:49">
      <c r="AT240" t="s">
        <v>412</v>
      </c>
      <c r="AU240" t="s">
        <v>309</v>
      </c>
      <c r="AV240">
        <v>6299</v>
      </c>
      <c r="AW240">
        <v>127</v>
      </c>
    </row>
    <row r="241" spans="46:49">
      <c r="AT241" t="s">
        <v>413</v>
      </c>
      <c r="AU241" t="s">
        <v>309</v>
      </c>
      <c r="AV241">
        <v>6305</v>
      </c>
      <c r="AW241">
        <v>127</v>
      </c>
    </row>
    <row r="242" spans="46:49">
      <c r="AT242" t="s">
        <v>414</v>
      </c>
      <c r="AU242" t="s">
        <v>170</v>
      </c>
      <c r="AV242">
        <v>6310</v>
      </c>
      <c r="AW242">
        <v>127</v>
      </c>
    </row>
    <row r="243" spans="46:49">
      <c r="AT243" t="s">
        <v>415</v>
      </c>
      <c r="AU243" t="s">
        <v>309</v>
      </c>
      <c r="AV243">
        <v>6311</v>
      </c>
      <c r="AW243">
        <v>127</v>
      </c>
    </row>
    <row r="244" spans="46:49">
      <c r="AT244" t="s">
        <v>416</v>
      </c>
      <c r="AU244" t="s">
        <v>309</v>
      </c>
      <c r="AV244">
        <v>6325</v>
      </c>
      <c r="AW244">
        <v>127</v>
      </c>
    </row>
    <row r="245" spans="46:49">
      <c r="AT245" t="s">
        <v>417</v>
      </c>
      <c r="AU245" t="s">
        <v>176</v>
      </c>
      <c r="AV245" t="s">
        <v>973</v>
      </c>
      <c r="AW245">
        <v>127</v>
      </c>
    </row>
    <row r="246" spans="46:49">
      <c r="AT246" t="s">
        <v>418</v>
      </c>
      <c r="AU246" t="s">
        <v>176</v>
      </c>
      <c r="AV246" t="s">
        <v>974</v>
      </c>
      <c r="AW246">
        <v>127</v>
      </c>
    </row>
    <row r="247" spans="46:49">
      <c r="AT247" t="s">
        <v>419</v>
      </c>
      <c r="AU247" t="s">
        <v>176</v>
      </c>
      <c r="AV247" t="s">
        <v>975</v>
      </c>
      <c r="AW247">
        <v>127</v>
      </c>
    </row>
    <row r="248" spans="46:49">
      <c r="AT248" t="s">
        <v>420</v>
      </c>
      <c r="AU248" t="s">
        <v>176</v>
      </c>
      <c r="AV248">
        <v>4058</v>
      </c>
      <c r="AW248">
        <v>127</v>
      </c>
    </row>
    <row r="249" spans="46:49">
      <c r="AT249" t="s">
        <v>421</v>
      </c>
      <c r="AU249" t="s">
        <v>176</v>
      </c>
      <c r="AV249" t="s">
        <v>976</v>
      </c>
      <c r="AW249">
        <v>127</v>
      </c>
    </row>
    <row r="250" spans="46:49">
      <c r="AT250" t="s">
        <v>422</v>
      </c>
      <c r="AU250" t="s">
        <v>176</v>
      </c>
      <c r="AV250" t="s">
        <v>977</v>
      </c>
      <c r="AW250">
        <v>127</v>
      </c>
    </row>
    <row r="251" spans="46:49">
      <c r="AT251" t="s">
        <v>423</v>
      </c>
      <c r="AU251" t="s">
        <v>176</v>
      </c>
      <c r="AV251" t="s">
        <v>978</v>
      </c>
      <c r="AW251">
        <v>127</v>
      </c>
    </row>
    <row r="252" spans="46:49">
      <c r="AT252" t="s">
        <v>424</v>
      </c>
      <c r="AU252" t="s">
        <v>176</v>
      </c>
      <c r="AV252" t="s">
        <v>979</v>
      </c>
      <c r="AW252">
        <v>127</v>
      </c>
    </row>
    <row r="253" spans="46:49">
      <c r="AT253" t="s">
        <v>425</v>
      </c>
      <c r="AU253" t="s">
        <v>176</v>
      </c>
      <c r="AV253" t="s">
        <v>980</v>
      </c>
      <c r="AW253">
        <v>127</v>
      </c>
    </row>
    <row r="254" spans="46:49">
      <c r="AT254" t="s">
        <v>426</v>
      </c>
      <c r="AU254" t="s">
        <v>176</v>
      </c>
      <c r="AV254" t="s">
        <v>981</v>
      </c>
      <c r="AW254">
        <v>127</v>
      </c>
    </row>
    <row r="255" spans="46:49">
      <c r="AT255" t="s">
        <v>427</v>
      </c>
      <c r="AU255" t="s">
        <v>176</v>
      </c>
      <c r="AV255" t="s">
        <v>982</v>
      </c>
      <c r="AW255">
        <v>127</v>
      </c>
    </row>
    <row r="256" spans="46:49">
      <c r="AT256" t="s">
        <v>428</v>
      </c>
      <c r="AU256" t="s">
        <v>176</v>
      </c>
      <c r="AV256" t="s">
        <v>983</v>
      </c>
      <c r="AW256">
        <v>127</v>
      </c>
    </row>
    <row r="257" spans="46:49">
      <c r="AT257" t="s">
        <v>429</v>
      </c>
      <c r="AU257" t="s">
        <v>176</v>
      </c>
      <c r="AV257" t="s">
        <v>984</v>
      </c>
      <c r="AW257">
        <v>127</v>
      </c>
    </row>
    <row r="258" spans="46:49">
      <c r="AT258" t="s">
        <v>430</v>
      </c>
      <c r="AU258" t="s">
        <v>172</v>
      </c>
      <c r="AV258" t="s">
        <v>985</v>
      </c>
      <c r="AW258">
        <v>127</v>
      </c>
    </row>
    <row r="259" spans="46:49">
      <c r="AT259" t="s">
        <v>431</v>
      </c>
      <c r="AU259" t="s">
        <v>172</v>
      </c>
      <c r="AV259" t="s">
        <v>986</v>
      </c>
      <c r="AW259">
        <v>127</v>
      </c>
    </row>
    <row r="260" spans="46:49">
      <c r="AT260" t="s">
        <v>432</v>
      </c>
      <c r="AU260" t="s">
        <v>172</v>
      </c>
      <c r="AV260" t="s">
        <v>987</v>
      </c>
      <c r="AW260">
        <v>127</v>
      </c>
    </row>
    <row r="261" spans="46:49">
      <c r="AT261" t="s">
        <v>433</v>
      </c>
      <c r="AU261" t="s">
        <v>170</v>
      </c>
      <c r="AV261" t="s">
        <v>988</v>
      </c>
      <c r="AW261">
        <v>127</v>
      </c>
    </row>
    <row r="262" spans="46:49">
      <c r="AT262" t="s">
        <v>434</v>
      </c>
      <c r="AU262" t="s">
        <v>170</v>
      </c>
      <c r="AV262">
        <v>1120</v>
      </c>
      <c r="AW262">
        <v>89</v>
      </c>
    </row>
    <row r="263" spans="46:49">
      <c r="AT263" t="s">
        <v>435</v>
      </c>
      <c r="AU263" t="s">
        <v>170</v>
      </c>
      <c r="AV263">
        <v>1121</v>
      </c>
      <c r="AW263">
        <v>89</v>
      </c>
    </row>
    <row r="264" spans="46:49">
      <c r="AT264" t="s">
        <v>436</v>
      </c>
      <c r="AU264" t="s">
        <v>172</v>
      </c>
      <c r="AV264">
        <v>1138</v>
      </c>
      <c r="AW264">
        <v>89</v>
      </c>
    </row>
    <row r="265" spans="46:49">
      <c r="AT265" t="s">
        <v>437</v>
      </c>
      <c r="AU265" t="s">
        <v>172</v>
      </c>
      <c r="AV265">
        <v>1144</v>
      </c>
      <c r="AW265">
        <v>89</v>
      </c>
    </row>
    <row r="266" spans="46:49">
      <c r="AT266" t="s">
        <v>438</v>
      </c>
      <c r="AU266" t="s">
        <v>172</v>
      </c>
      <c r="AV266">
        <v>1145</v>
      </c>
      <c r="AW266">
        <v>89</v>
      </c>
    </row>
    <row r="267" spans="46:49">
      <c r="AT267" t="s">
        <v>439</v>
      </c>
      <c r="AU267" t="s">
        <v>176</v>
      </c>
      <c r="AV267">
        <v>1210</v>
      </c>
      <c r="AW267">
        <v>89</v>
      </c>
    </row>
    <row r="268" spans="46:49">
      <c r="AT268" t="s">
        <v>440</v>
      </c>
      <c r="AU268" t="s">
        <v>176</v>
      </c>
      <c r="AV268">
        <v>1216</v>
      </c>
      <c r="AW268">
        <v>89</v>
      </c>
    </row>
    <row r="269" spans="46:49">
      <c r="AT269" t="s">
        <v>441</v>
      </c>
      <c r="AU269" t="s">
        <v>176</v>
      </c>
      <c r="AV269">
        <v>1241</v>
      </c>
      <c r="AW269">
        <v>89</v>
      </c>
    </row>
    <row r="270" spans="46:49">
      <c r="AT270" t="s">
        <v>442</v>
      </c>
      <c r="AU270" t="s">
        <v>180</v>
      </c>
      <c r="AV270">
        <v>2110</v>
      </c>
      <c r="AW270">
        <v>89</v>
      </c>
    </row>
    <row r="271" spans="46:49">
      <c r="AT271" t="s">
        <v>443</v>
      </c>
      <c r="AU271" t="s">
        <v>180</v>
      </c>
      <c r="AV271">
        <v>2118</v>
      </c>
      <c r="AW271">
        <v>89</v>
      </c>
    </row>
    <row r="272" spans="46:49">
      <c r="AT272" t="s">
        <v>444</v>
      </c>
      <c r="AU272" t="s">
        <v>180</v>
      </c>
      <c r="AV272">
        <v>2142</v>
      </c>
      <c r="AW272">
        <v>89</v>
      </c>
    </row>
    <row r="273" spans="46:49">
      <c r="AT273" t="s">
        <v>445</v>
      </c>
      <c r="AU273" t="s">
        <v>172</v>
      </c>
      <c r="AV273">
        <v>2210</v>
      </c>
      <c r="AW273">
        <v>89</v>
      </c>
    </row>
    <row r="274" spans="46:49">
      <c r="AT274" t="s">
        <v>446</v>
      </c>
      <c r="AU274" t="s">
        <v>170</v>
      </c>
      <c r="AV274">
        <v>3110</v>
      </c>
      <c r="AW274">
        <v>89</v>
      </c>
    </row>
    <row r="275" spans="46:49">
      <c r="AT275" t="s">
        <v>447</v>
      </c>
      <c r="AU275" t="s">
        <v>170</v>
      </c>
      <c r="AV275">
        <v>3116</v>
      </c>
      <c r="AW275">
        <v>89</v>
      </c>
    </row>
    <row r="276" spans="46:49">
      <c r="AT276" t="s">
        <v>448</v>
      </c>
      <c r="AU276" t="s">
        <v>170</v>
      </c>
      <c r="AV276">
        <v>3118</v>
      </c>
      <c r="AW276">
        <v>89</v>
      </c>
    </row>
    <row r="277" spans="46:49">
      <c r="AT277" t="s">
        <v>449</v>
      </c>
      <c r="AU277" t="s">
        <v>170</v>
      </c>
      <c r="AV277">
        <v>3142</v>
      </c>
      <c r="AW277">
        <v>89</v>
      </c>
    </row>
    <row r="278" spans="46:49">
      <c r="AT278" t="s">
        <v>450</v>
      </c>
      <c r="AU278" t="s">
        <v>189</v>
      </c>
      <c r="AV278">
        <v>3804</v>
      </c>
      <c r="AW278">
        <v>89</v>
      </c>
    </row>
    <row r="279" spans="46:49">
      <c r="AT279" t="s">
        <v>451</v>
      </c>
      <c r="AU279" t="s">
        <v>172</v>
      </c>
      <c r="AV279">
        <v>3809</v>
      </c>
      <c r="AW279">
        <v>89</v>
      </c>
    </row>
    <row r="280" spans="46:49">
      <c r="AT280" t="s">
        <v>452</v>
      </c>
      <c r="AU280" t="s">
        <v>189</v>
      </c>
      <c r="AV280">
        <v>3813</v>
      </c>
      <c r="AW280">
        <v>89</v>
      </c>
    </row>
    <row r="281" spans="46:49">
      <c r="AT281" t="s">
        <v>453</v>
      </c>
      <c r="AU281" t="s">
        <v>172</v>
      </c>
      <c r="AV281">
        <v>3858</v>
      </c>
      <c r="AW281">
        <v>89</v>
      </c>
    </row>
    <row r="282" spans="46:49">
      <c r="AT282" t="s">
        <v>454</v>
      </c>
      <c r="AU282" t="s">
        <v>176</v>
      </c>
      <c r="AV282">
        <v>3859</v>
      </c>
      <c r="AW282">
        <v>89</v>
      </c>
    </row>
    <row r="283" spans="46:49">
      <c r="AT283" t="s">
        <v>455</v>
      </c>
      <c r="AU283" t="s">
        <v>172</v>
      </c>
      <c r="AV283">
        <v>3860</v>
      </c>
      <c r="AW283">
        <v>89</v>
      </c>
    </row>
    <row r="284" spans="46:49">
      <c r="AT284" t="s">
        <v>456</v>
      </c>
      <c r="AU284" t="s">
        <v>172</v>
      </c>
      <c r="AV284">
        <v>3870</v>
      </c>
      <c r="AW284">
        <v>89</v>
      </c>
    </row>
    <row r="285" spans="46:49">
      <c r="AT285" t="s">
        <v>457</v>
      </c>
      <c r="AU285" t="s">
        <v>189</v>
      </c>
      <c r="AV285">
        <v>3884</v>
      </c>
      <c r="AW285">
        <v>89</v>
      </c>
    </row>
    <row r="286" spans="46:49">
      <c r="AT286" t="s">
        <v>458</v>
      </c>
      <c r="AU286" t="s">
        <v>172</v>
      </c>
      <c r="AV286">
        <v>3886</v>
      </c>
      <c r="AW286">
        <v>89</v>
      </c>
    </row>
    <row r="287" spans="46:49">
      <c r="AT287" t="s">
        <v>459</v>
      </c>
      <c r="AU287" t="s">
        <v>172</v>
      </c>
      <c r="AV287">
        <v>3888</v>
      </c>
      <c r="AW287">
        <v>89</v>
      </c>
    </row>
    <row r="288" spans="46:49">
      <c r="AT288" t="s">
        <v>460</v>
      </c>
      <c r="AU288" t="s">
        <v>189</v>
      </c>
      <c r="AV288">
        <v>3895</v>
      </c>
      <c r="AW288">
        <v>89</v>
      </c>
    </row>
    <row r="289" spans="46:49">
      <c r="AT289" t="s">
        <v>461</v>
      </c>
      <c r="AU289" t="s">
        <v>189</v>
      </c>
      <c r="AV289">
        <v>3907</v>
      </c>
      <c r="AW289">
        <v>89</v>
      </c>
    </row>
    <row r="290" spans="46:49">
      <c r="AT290" t="s">
        <v>462</v>
      </c>
      <c r="AU290" t="s">
        <v>172</v>
      </c>
      <c r="AV290">
        <v>3908</v>
      </c>
      <c r="AW290">
        <v>89</v>
      </c>
    </row>
    <row r="291" spans="46:49">
      <c r="AT291" t="s">
        <v>463</v>
      </c>
      <c r="AU291" t="s">
        <v>172</v>
      </c>
      <c r="AV291">
        <v>3956</v>
      </c>
      <c r="AW291">
        <v>89</v>
      </c>
    </row>
    <row r="292" spans="46:49">
      <c r="AT292" t="s">
        <v>464</v>
      </c>
      <c r="AU292" t="s">
        <v>189</v>
      </c>
      <c r="AV292">
        <v>3958</v>
      </c>
      <c r="AW292">
        <v>89</v>
      </c>
    </row>
    <row r="293" spans="46:49">
      <c r="AT293" t="s">
        <v>465</v>
      </c>
      <c r="AU293" t="s">
        <v>189</v>
      </c>
      <c r="AV293">
        <v>3971</v>
      </c>
      <c r="AW293">
        <v>89</v>
      </c>
    </row>
    <row r="294" spans="46:49">
      <c r="AT294" t="s">
        <v>466</v>
      </c>
      <c r="AU294" t="s">
        <v>172</v>
      </c>
      <c r="AV294">
        <v>3992</v>
      </c>
      <c r="AW294">
        <v>89</v>
      </c>
    </row>
    <row r="295" spans="46:49">
      <c r="AT295" t="s">
        <v>467</v>
      </c>
      <c r="AU295" t="s">
        <v>176</v>
      </c>
      <c r="AV295">
        <v>4000</v>
      </c>
      <c r="AW295">
        <v>89</v>
      </c>
    </row>
    <row r="296" spans="46:49">
      <c r="AT296" t="s">
        <v>468</v>
      </c>
      <c r="AU296" t="s">
        <v>172</v>
      </c>
      <c r="AV296">
        <v>4001</v>
      </c>
      <c r="AW296">
        <v>89</v>
      </c>
    </row>
    <row r="297" spans="46:49">
      <c r="AT297" t="s">
        <v>469</v>
      </c>
      <c r="AU297" t="s">
        <v>172</v>
      </c>
      <c r="AV297">
        <v>4002</v>
      </c>
      <c r="AW297">
        <v>89</v>
      </c>
    </row>
    <row r="298" spans="46:49">
      <c r="AT298" t="s">
        <v>470</v>
      </c>
      <c r="AU298" t="s">
        <v>189</v>
      </c>
      <c r="AV298">
        <v>4003</v>
      </c>
      <c r="AW298">
        <v>89</v>
      </c>
    </row>
    <row r="299" spans="46:49">
      <c r="AT299" t="s">
        <v>471</v>
      </c>
      <c r="AU299" t="s">
        <v>189</v>
      </c>
      <c r="AV299">
        <v>4004</v>
      </c>
      <c r="AW299">
        <v>89</v>
      </c>
    </row>
    <row r="300" spans="46:49">
      <c r="AT300" t="s">
        <v>472</v>
      </c>
      <c r="AU300" t="s">
        <v>189</v>
      </c>
      <c r="AV300">
        <v>4005</v>
      </c>
      <c r="AW300">
        <v>89</v>
      </c>
    </row>
    <row r="301" spans="46:49">
      <c r="AT301" t="s">
        <v>473</v>
      </c>
      <c r="AU301" t="s">
        <v>170</v>
      </c>
      <c r="AV301">
        <v>4006</v>
      </c>
      <c r="AW301">
        <v>89</v>
      </c>
    </row>
    <row r="302" spans="46:49">
      <c r="AT302" t="s">
        <v>474</v>
      </c>
      <c r="AU302" t="s">
        <v>170</v>
      </c>
      <c r="AV302">
        <v>4007</v>
      </c>
      <c r="AW302">
        <v>89</v>
      </c>
    </row>
    <row r="303" spans="46:49">
      <c r="AT303" t="s">
        <v>475</v>
      </c>
      <c r="AU303" t="s">
        <v>170</v>
      </c>
      <c r="AV303">
        <v>4008</v>
      </c>
      <c r="AW303">
        <v>89</v>
      </c>
    </row>
    <row r="304" spans="46:49">
      <c r="AT304" t="s">
        <v>476</v>
      </c>
      <c r="AU304" t="s">
        <v>170</v>
      </c>
      <c r="AV304">
        <v>4009</v>
      </c>
      <c r="AW304">
        <v>89</v>
      </c>
    </row>
    <row r="305" spans="46:49">
      <c r="AT305" t="s">
        <v>477</v>
      </c>
      <c r="AU305" t="s">
        <v>189</v>
      </c>
      <c r="AV305">
        <v>4022</v>
      </c>
      <c r="AW305">
        <v>89</v>
      </c>
    </row>
    <row r="306" spans="46:49">
      <c r="AT306" t="s">
        <v>478</v>
      </c>
      <c r="AU306" t="s">
        <v>189</v>
      </c>
      <c r="AV306">
        <v>4023</v>
      </c>
      <c r="AW306">
        <v>89</v>
      </c>
    </row>
    <row r="307" spans="46:49">
      <c r="AT307" t="s">
        <v>479</v>
      </c>
      <c r="AU307" t="s">
        <v>189</v>
      </c>
      <c r="AV307">
        <v>4024</v>
      </c>
      <c r="AW307">
        <v>89</v>
      </c>
    </row>
    <row r="308" spans="46:49">
      <c r="AT308" t="s">
        <v>480</v>
      </c>
      <c r="AU308" t="s">
        <v>189</v>
      </c>
      <c r="AV308">
        <v>4025</v>
      </c>
      <c r="AW308">
        <v>89</v>
      </c>
    </row>
    <row r="309" spans="46:49">
      <c r="AT309" t="s">
        <v>481</v>
      </c>
      <c r="AU309" t="s">
        <v>189</v>
      </c>
      <c r="AV309">
        <v>4026</v>
      </c>
      <c r="AW309">
        <v>89</v>
      </c>
    </row>
    <row r="310" spans="46:49">
      <c r="AT310" t="s">
        <v>482</v>
      </c>
      <c r="AU310" t="s">
        <v>189</v>
      </c>
      <c r="AV310">
        <v>4029</v>
      </c>
      <c r="AW310">
        <v>89</v>
      </c>
    </row>
    <row r="311" spans="46:49">
      <c r="AT311" t="s">
        <v>483</v>
      </c>
      <c r="AU311" t="s">
        <v>170</v>
      </c>
      <c r="AV311">
        <v>4035</v>
      </c>
      <c r="AW311">
        <v>89</v>
      </c>
    </row>
    <row r="312" spans="46:49">
      <c r="AT312" t="s">
        <v>484</v>
      </c>
      <c r="AU312" t="s">
        <v>170</v>
      </c>
      <c r="AV312">
        <v>4036</v>
      </c>
      <c r="AW312">
        <v>89</v>
      </c>
    </row>
    <row r="313" spans="46:49">
      <c r="AT313" t="s">
        <v>485</v>
      </c>
      <c r="AU313" t="s">
        <v>170</v>
      </c>
      <c r="AV313">
        <v>4037</v>
      </c>
      <c r="AW313">
        <v>89</v>
      </c>
    </row>
    <row r="314" spans="46:49">
      <c r="AT314" t="s">
        <v>486</v>
      </c>
      <c r="AU314" t="s">
        <v>170</v>
      </c>
      <c r="AV314">
        <v>4038</v>
      </c>
      <c r="AW314">
        <v>89</v>
      </c>
    </row>
    <row r="315" spans="46:49">
      <c r="AT315" t="s">
        <v>487</v>
      </c>
      <c r="AU315" t="s">
        <v>170</v>
      </c>
      <c r="AV315">
        <v>4039</v>
      </c>
      <c r="AW315">
        <v>89</v>
      </c>
    </row>
    <row r="316" spans="46:49">
      <c r="AT316" t="s">
        <v>488</v>
      </c>
      <c r="AU316" t="s">
        <v>170</v>
      </c>
      <c r="AV316">
        <v>4040</v>
      </c>
      <c r="AW316">
        <v>89</v>
      </c>
    </row>
    <row r="317" spans="46:49">
      <c r="AT317" t="s">
        <v>489</v>
      </c>
      <c r="AU317" t="s">
        <v>170</v>
      </c>
      <c r="AV317">
        <v>4041</v>
      </c>
      <c r="AW317">
        <v>89</v>
      </c>
    </row>
    <row r="318" spans="46:49">
      <c r="AT318" t="s">
        <v>490</v>
      </c>
      <c r="AU318" t="s">
        <v>170</v>
      </c>
      <c r="AV318">
        <v>4042</v>
      </c>
      <c r="AW318">
        <v>89</v>
      </c>
    </row>
    <row r="319" spans="46:49">
      <c r="AT319" t="s">
        <v>491</v>
      </c>
      <c r="AU319" t="s">
        <v>170</v>
      </c>
      <c r="AV319">
        <v>4043</v>
      </c>
      <c r="AW319">
        <v>89</v>
      </c>
    </row>
    <row r="320" spans="46:49">
      <c r="AT320" t="s">
        <v>492</v>
      </c>
      <c r="AU320" t="s">
        <v>170</v>
      </c>
      <c r="AV320">
        <v>4044</v>
      </c>
      <c r="AW320">
        <v>89</v>
      </c>
    </row>
    <row r="321" spans="46:49">
      <c r="AT321" t="s">
        <v>493</v>
      </c>
      <c r="AU321" t="s">
        <v>170</v>
      </c>
      <c r="AV321">
        <v>4045</v>
      </c>
      <c r="AW321">
        <v>89</v>
      </c>
    </row>
    <row r="322" spans="46:49">
      <c r="AT322" t="s">
        <v>494</v>
      </c>
      <c r="AU322" t="s">
        <v>170</v>
      </c>
      <c r="AV322">
        <v>4046</v>
      </c>
      <c r="AW322">
        <v>89</v>
      </c>
    </row>
    <row r="323" spans="46:49">
      <c r="AT323" t="s">
        <v>495</v>
      </c>
      <c r="AU323" t="s">
        <v>170</v>
      </c>
      <c r="AV323">
        <v>4047</v>
      </c>
      <c r="AW323">
        <v>89</v>
      </c>
    </row>
    <row r="324" spans="46:49">
      <c r="AT324" t="s">
        <v>496</v>
      </c>
      <c r="AU324" t="s">
        <v>170</v>
      </c>
      <c r="AV324">
        <v>4048</v>
      </c>
      <c r="AW324">
        <v>89</v>
      </c>
    </row>
    <row r="325" spans="46:49">
      <c r="AT325" t="s">
        <v>497</v>
      </c>
      <c r="AU325" t="s">
        <v>170</v>
      </c>
      <c r="AV325">
        <v>4049</v>
      </c>
      <c r="AW325">
        <v>89</v>
      </c>
    </row>
    <row r="326" spans="46:49">
      <c r="AT326" t="s">
        <v>498</v>
      </c>
      <c r="AU326" t="s">
        <v>170</v>
      </c>
      <c r="AV326">
        <v>4050</v>
      </c>
      <c r="AW326">
        <v>89</v>
      </c>
    </row>
    <row r="327" spans="46:49">
      <c r="AT327" t="s">
        <v>499</v>
      </c>
      <c r="AU327" t="s">
        <v>170</v>
      </c>
      <c r="AV327">
        <v>4051</v>
      </c>
      <c r="AW327">
        <v>89</v>
      </c>
    </row>
    <row r="328" spans="46:49">
      <c r="AT328" t="s">
        <v>500</v>
      </c>
      <c r="AU328" t="s">
        <v>170</v>
      </c>
      <c r="AV328">
        <v>4052</v>
      </c>
      <c r="AW328">
        <v>89</v>
      </c>
    </row>
    <row r="329" spans="46:49">
      <c r="AT329" t="s">
        <v>501</v>
      </c>
      <c r="AU329" t="s">
        <v>170</v>
      </c>
      <c r="AV329">
        <v>4053</v>
      </c>
      <c r="AW329">
        <v>89</v>
      </c>
    </row>
    <row r="330" spans="46:49">
      <c r="AT330" t="s">
        <v>502</v>
      </c>
      <c r="AU330" t="s">
        <v>170</v>
      </c>
      <c r="AV330">
        <v>4054</v>
      </c>
      <c r="AW330">
        <v>89</v>
      </c>
    </row>
    <row r="331" spans="46:49">
      <c r="AT331" t="s">
        <v>503</v>
      </c>
      <c r="AU331" t="s">
        <v>176</v>
      </c>
      <c r="AV331">
        <v>4058</v>
      </c>
      <c r="AW331">
        <v>89</v>
      </c>
    </row>
    <row r="332" spans="46:49">
      <c r="AT332" t="s">
        <v>504</v>
      </c>
      <c r="AU332" t="s">
        <v>176</v>
      </c>
      <c r="AV332">
        <v>4067</v>
      </c>
      <c r="AW332">
        <v>89</v>
      </c>
    </row>
    <row r="333" spans="46:49">
      <c r="AT333" t="s">
        <v>505</v>
      </c>
      <c r="AU333" t="s">
        <v>176</v>
      </c>
      <c r="AV333">
        <v>4068</v>
      </c>
      <c r="AW333">
        <v>89</v>
      </c>
    </row>
    <row r="334" spans="46:49">
      <c r="AT334" t="s">
        <v>506</v>
      </c>
      <c r="AU334" t="s">
        <v>176</v>
      </c>
      <c r="AV334">
        <v>4069</v>
      </c>
      <c r="AW334">
        <v>89</v>
      </c>
    </row>
    <row r="335" spans="46:49">
      <c r="AT335" t="s">
        <v>507</v>
      </c>
      <c r="AU335" t="s">
        <v>176</v>
      </c>
      <c r="AV335">
        <v>4070</v>
      </c>
      <c r="AW335">
        <v>89</v>
      </c>
    </row>
    <row r="336" spans="46:49">
      <c r="AT336" t="s">
        <v>508</v>
      </c>
      <c r="AU336" t="s">
        <v>176</v>
      </c>
      <c r="AV336">
        <v>4071</v>
      </c>
      <c r="AW336">
        <v>89</v>
      </c>
    </row>
    <row r="337" spans="46:49">
      <c r="AT337" t="s">
        <v>509</v>
      </c>
      <c r="AU337" t="s">
        <v>176</v>
      </c>
      <c r="AV337">
        <v>4072</v>
      </c>
      <c r="AW337">
        <v>89</v>
      </c>
    </row>
    <row r="338" spans="46:49">
      <c r="AT338" t="s">
        <v>510</v>
      </c>
      <c r="AU338" t="s">
        <v>176</v>
      </c>
      <c r="AV338">
        <v>4073</v>
      </c>
      <c r="AW338">
        <v>89</v>
      </c>
    </row>
    <row r="339" spans="46:49">
      <c r="AT339" t="s">
        <v>511</v>
      </c>
      <c r="AU339" t="s">
        <v>176</v>
      </c>
      <c r="AV339">
        <v>4074</v>
      </c>
      <c r="AW339">
        <v>89</v>
      </c>
    </row>
    <row r="340" spans="46:49">
      <c r="AT340" t="s">
        <v>512</v>
      </c>
      <c r="AU340" t="s">
        <v>176</v>
      </c>
      <c r="AV340">
        <v>4075</v>
      </c>
      <c r="AW340">
        <v>89</v>
      </c>
    </row>
    <row r="341" spans="46:49">
      <c r="AT341" t="s">
        <v>513</v>
      </c>
      <c r="AU341" t="s">
        <v>170</v>
      </c>
      <c r="AV341">
        <v>4080</v>
      </c>
      <c r="AW341">
        <v>89</v>
      </c>
    </row>
    <row r="342" spans="46:49">
      <c r="AT342" t="s">
        <v>514</v>
      </c>
      <c r="AU342" t="s">
        <v>170</v>
      </c>
      <c r="AV342">
        <v>4081</v>
      </c>
      <c r="AW342">
        <v>89</v>
      </c>
    </row>
    <row r="343" spans="46:49">
      <c r="AT343" t="s">
        <v>515</v>
      </c>
      <c r="AU343" t="s">
        <v>170</v>
      </c>
      <c r="AV343">
        <v>4082</v>
      </c>
      <c r="AW343">
        <v>89</v>
      </c>
    </row>
    <row r="344" spans="46:49">
      <c r="AT344" t="s">
        <v>516</v>
      </c>
      <c r="AU344" t="s">
        <v>189</v>
      </c>
      <c r="AV344">
        <v>4083</v>
      </c>
      <c r="AW344">
        <v>89</v>
      </c>
    </row>
    <row r="345" spans="46:49">
      <c r="AT345" t="s">
        <v>517</v>
      </c>
      <c r="AU345" t="s">
        <v>189</v>
      </c>
      <c r="AV345">
        <v>4085</v>
      </c>
      <c r="AW345">
        <v>89</v>
      </c>
    </row>
    <row r="346" spans="46:49">
      <c r="AT346" t="s">
        <v>518</v>
      </c>
      <c r="AU346" t="s">
        <v>189</v>
      </c>
      <c r="AV346">
        <v>4086</v>
      </c>
      <c r="AW346">
        <v>89</v>
      </c>
    </row>
    <row r="347" spans="46:49">
      <c r="AT347" t="s">
        <v>519</v>
      </c>
      <c r="AU347" t="s">
        <v>189</v>
      </c>
      <c r="AV347">
        <v>4087</v>
      </c>
      <c r="AW347">
        <v>89</v>
      </c>
    </row>
    <row r="348" spans="46:49">
      <c r="AT348" t="s">
        <v>520</v>
      </c>
      <c r="AU348" t="s">
        <v>189</v>
      </c>
      <c r="AV348">
        <v>4088</v>
      </c>
      <c r="AW348">
        <v>89</v>
      </c>
    </row>
    <row r="349" spans="46:49">
      <c r="AT349" t="s">
        <v>521</v>
      </c>
      <c r="AU349" t="s">
        <v>189</v>
      </c>
      <c r="AV349">
        <v>4089</v>
      </c>
      <c r="AW349">
        <v>89</v>
      </c>
    </row>
    <row r="350" spans="46:49">
      <c r="AT350" t="s">
        <v>522</v>
      </c>
      <c r="AU350" t="s">
        <v>189</v>
      </c>
      <c r="AV350">
        <v>4090</v>
      </c>
      <c r="AW350">
        <v>89</v>
      </c>
    </row>
    <row r="351" spans="46:49">
      <c r="AT351" t="s">
        <v>523</v>
      </c>
      <c r="AU351" t="s">
        <v>189</v>
      </c>
      <c r="AV351">
        <v>4091</v>
      </c>
      <c r="AW351">
        <v>89</v>
      </c>
    </row>
    <row r="352" spans="46:49">
      <c r="AT352" t="s">
        <v>524</v>
      </c>
      <c r="AU352" t="s">
        <v>180</v>
      </c>
      <c r="AV352">
        <v>4093</v>
      </c>
      <c r="AW352">
        <v>89</v>
      </c>
    </row>
    <row r="353" spans="46:49">
      <c r="AT353" t="s">
        <v>525</v>
      </c>
      <c r="AU353" t="s">
        <v>180</v>
      </c>
      <c r="AV353">
        <v>4094</v>
      </c>
      <c r="AW353">
        <v>89</v>
      </c>
    </row>
    <row r="354" spans="46:49">
      <c r="AT354" t="s">
        <v>526</v>
      </c>
      <c r="AU354" t="s">
        <v>180</v>
      </c>
      <c r="AV354">
        <v>4095</v>
      </c>
      <c r="AW354">
        <v>89</v>
      </c>
    </row>
    <row r="355" spans="46:49">
      <c r="AT355" t="s">
        <v>527</v>
      </c>
      <c r="AU355" t="s">
        <v>180</v>
      </c>
      <c r="AV355">
        <v>4096</v>
      </c>
      <c r="AW355">
        <v>89</v>
      </c>
    </row>
    <row r="356" spans="46:49">
      <c r="AT356" t="s">
        <v>528</v>
      </c>
      <c r="AU356" t="s">
        <v>180</v>
      </c>
      <c r="AV356">
        <v>4097</v>
      </c>
      <c r="AW356">
        <v>89</v>
      </c>
    </row>
    <row r="357" spans="46:49">
      <c r="AT357" t="s">
        <v>529</v>
      </c>
      <c r="AU357" t="s">
        <v>180</v>
      </c>
      <c r="AV357">
        <v>4098</v>
      </c>
      <c r="AW357">
        <v>89</v>
      </c>
    </row>
    <row r="358" spans="46:49">
      <c r="AT358" t="s">
        <v>530</v>
      </c>
      <c r="AU358" t="s">
        <v>180</v>
      </c>
      <c r="AV358">
        <v>4099</v>
      </c>
      <c r="AW358">
        <v>89</v>
      </c>
    </row>
    <row r="359" spans="46:49">
      <c r="AT359" t="s">
        <v>531</v>
      </c>
      <c r="AU359" t="s">
        <v>180</v>
      </c>
      <c r="AV359">
        <v>4100</v>
      </c>
      <c r="AW359">
        <v>89</v>
      </c>
    </row>
    <row r="360" spans="46:49">
      <c r="AT360" t="s">
        <v>532</v>
      </c>
      <c r="AU360" t="s">
        <v>172</v>
      </c>
      <c r="AV360">
        <v>4101</v>
      </c>
      <c r="AW360">
        <v>89</v>
      </c>
    </row>
    <row r="361" spans="46:49">
      <c r="AT361" t="s">
        <v>533</v>
      </c>
      <c r="AU361" t="s">
        <v>172</v>
      </c>
      <c r="AV361">
        <v>4102</v>
      </c>
      <c r="AW361">
        <v>89</v>
      </c>
    </row>
    <row r="362" spans="46:49">
      <c r="AT362" t="s">
        <v>534</v>
      </c>
      <c r="AU362" t="s">
        <v>172</v>
      </c>
      <c r="AV362">
        <v>4103</v>
      </c>
      <c r="AW362">
        <v>89</v>
      </c>
    </row>
    <row r="363" spans="46:49">
      <c r="AT363" t="s">
        <v>535</v>
      </c>
      <c r="AU363" t="s">
        <v>172</v>
      </c>
      <c r="AV363">
        <v>4104</v>
      </c>
      <c r="AW363">
        <v>89</v>
      </c>
    </row>
    <row r="364" spans="46:49">
      <c r="AT364" t="s">
        <v>536</v>
      </c>
      <c r="AU364" t="s">
        <v>172</v>
      </c>
      <c r="AV364">
        <v>4105</v>
      </c>
      <c r="AW364">
        <v>89</v>
      </c>
    </row>
    <row r="365" spans="46:49">
      <c r="AT365" t="s">
        <v>537</v>
      </c>
      <c r="AU365" t="s">
        <v>172</v>
      </c>
      <c r="AV365">
        <v>4106</v>
      </c>
      <c r="AW365">
        <v>89</v>
      </c>
    </row>
    <row r="366" spans="46:49">
      <c r="AT366" t="s">
        <v>538</v>
      </c>
      <c r="AU366" t="s">
        <v>180</v>
      </c>
      <c r="AV366">
        <v>4107</v>
      </c>
      <c r="AW366">
        <v>89</v>
      </c>
    </row>
    <row r="367" spans="46:49">
      <c r="AT367" t="s">
        <v>539</v>
      </c>
      <c r="AU367" t="s">
        <v>180</v>
      </c>
      <c r="AV367">
        <v>4108</v>
      </c>
      <c r="AW367">
        <v>89</v>
      </c>
    </row>
    <row r="368" spans="46:49">
      <c r="AT368" t="s">
        <v>540</v>
      </c>
      <c r="AU368" t="s">
        <v>180</v>
      </c>
      <c r="AV368">
        <v>4109</v>
      </c>
      <c r="AW368">
        <v>89</v>
      </c>
    </row>
    <row r="369" spans="46:49">
      <c r="AT369" t="s">
        <v>541</v>
      </c>
      <c r="AU369" t="s">
        <v>170</v>
      </c>
      <c r="AV369">
        <v>4110</v>
      </c>
      <c r="AW369">
        <v>89</v>
      </c>
    </row>
    <row r="370" spans="46:49">
      <c r="AT370" t="s">
        <v>542</v>
      </c>
      <c r="AU370" t="s">
        <v>180</v>
      </c>
      <c r="AV370">
        <v>4111</v>
      </c>
      <c r="AW370">
        <v>89</v>
      </c>
    </row>
    <row r="371" spans="46:49">
      <c r="AT371" t="s">
        <v>543</v>
      </c>
      <c r="AU371" t="s">
        <v>180</v>
      </c>
      <c r="AV371">
        <v>4112</v>
      </c>
      <c r="AW371">
        <v>89</v>
      </c>
    </row>
    <row r="372" spans="46:49">
      <c r="AT372" t="s">
        <v>544</v>
      </c>
      <c r="AU372" t="s">
        <v>180</v>
      </c>
      <c r="AV372">
        <v>4113</v>
      </c>
      <c r="AW372">
        <v>89</v>
      </c>
    </row>
    <row r="373" spans="46:49">
      <c r="AT373" t="s">
        <v>545</v>
      </c>
      <c r="AU373" t="s">
        <v>180</v>
      </c>
      <c r="AV373">
        <v>4114</v>
      </c>
      <c r="AW373">
        <v>89</v>
      </c>
    </row>
    <row r="374" spans="46:49">
      <c r="AT374" t="s">
        <v>546</v>
      </c>
      <c r="AU374" t="s">
        <v>172</v>
      </c>
      <c r="AV374">
        <v>4115</v>
      </c>
      <c r="AW374">
        <v>89</v>
      </c>
    </row>
    <row r="375" spans="46:49">
      <c r="AT375" t="s">
        <v>547</v>
      </c>
      <c r="AU375" t="s">
        <v>172</v>
      </c>
      <c r="AV375">
        <v>4117</v>
      </c>
      <c r="AW375">
        <v>89</v>
      </c>
    </row>
    <row r="376" spans="46:49">
      <c r="AT376" t="s">
        <v>548</v>
      </c>
      <c r="AU376" t="s">
        <v>170</v>
      </c>
      <c r="AV376">
        <v>4118</v>
      </c>
      <c r="AW376">
        <v>89</v>
      </c>
    </row>
    <row r="377" spans="46:49">
      <c r="AT377" t="s">
        <v>549</v>
      </c>
      <c r="AU377" t="s">
        <v>172</v>
      </c>
      <c r="AV377">
        <v>4120</v>
      </c>
      <c r="AW377">
        <v>89</v>
      </c>
    </row>
    <row r="378" spans="46:49">
      <c r="AT378" t="s">
        <v>550</v>
      </c>
      <c r="AU378" t="s">
        <v>172</v>
      </c>
      <c r="AV378">
        <v>4121</v>
      </c>
      <c r="AW378">
        <v>89</v>
      </c>
    </row>
    <row r="379" spans="46:49">
      <c r="AT379" t="s">
        <v>551</v>
      </c>
      <c r="AU379" t="s">
        <v>172</v>
      </c>
      <c r="AV379">
        <v>4123</v>
      </c>
      <c r="AW379">
        <v>89</v>
      </c>
    </row>
    <row r="380" spans="46:49">
      <c r="AT380" t="s">
        <v>552</v>
      </c>
      <c r="AU380" t="s">
        <v>172</v>
      </c>
      <c r="AV380">
        <v>4124</v>
      </c>
      <c r="AW380">
        <v>89</v>
      </c>
    </row>
    <row r="381" spans="46:49">
      <c r="AT381" t="s">
        <v>553</v>
      </c>
      <c r="AU381" t="s">
        <v>172</v>
      </c>
      <c r="AV381">
        <v>4125</v>
      </c>
      <c r="AW381">
        <v>89</v>
      </c>
    </row>
    <row r="382" spans="46:49">
      <c r="AT382" t="s">
        <v>554</v>
      </c>
      <c r="AU382" t="s">
        <v>172</v>
      </c>
      <c r="AV382">
        <v>4126</v>
      </c>
      <c r="AW382">
        <v>89</v>
      </c>
    </row>
    <row r="383" spans="46:49">
      <c r="AT383" t="s">
        <v>555</v>
      </c>
      <c r="AU383" t="s">
        <v>172</v>
      </c>
      <c r="AV383">
        <v>4128</v>
      </c>
      <c r="AW383">
        <v>89</v>
      </c>
    </row>
    <row r="384" spans="46:49">
      <c r="AT384" t="s">
        <v>556</v>
      </c>
      <c r="AU384" t="s">
        <v>170</v>
      </c>
      <c r="AV384">
        <v>4129</v>
      </c>
      <c r="AW384">
        <v>89</v>
      </c>
    </row>
    <row r="385" spans="46:49">
      <c r="AT385" t="s">
        <v>557</v>
      </c>
      <c r="AU385" t="s">
        <v>170</v>
      </c>
      <c r="AV385">
        <v>4132</v>
      </c>
      <c r="AW385">
        <v>89</v>
      </c>
    </row>
    <row r="386" spans="46:49">
      <c r="AT386" t="s">
        <v>558</v>
      </c>
      <c r="AU386" t="s">
        <v>170</v>
      </c>
      <c r="AV386">
        <v>4133</v>
      </c>
      <c r="AW386">
        <v>89</v>
      </c>
    </row>
    <row r="387" spans="46:49">
      <c r="AT387" t="s">
        <v>559</v>
      </c>
      <c r="AU387" t="s">
        <v>170</v>
      </c>
      <c r="AV387">
        <v>4134</v>
      </c>
      <c r="AW387">
        <v>89</v>
      </c>
    </row>
    <row r="388" spans="46:49">
      <c r="AT388" t="s">
        <v>560</v>
      </c>
      <c r="AU388" t="s">
        <v>180</v>
      </c>
      <c r="AV388">
        <v>4135</v>
      </c>
      <c r="AW388">
        <v>89</v>
      </c>
    </row>
    <row r="389" spans="46:49">
      <c r="AT389" t="s">
        <v>561</v>
      </c>
      <c r="AU389" t="s">
        <v>180</v>
      </c>
      <c r="AV389">
        <v>4136</v>
      </c>
      <c r="AW389">
        <v>89</v>
      </c>
    </row>
    <row r="390" spans="46:49">
      <c r="AT390" t="s">
        <v>562</v>
      </c>
      <c r="AU390" t="s">
        <v>170</v>
      </c>
      <c r="AV390">
        <v>4142</v>
      </c>
      <c r="AW390">
        <v>89</v>
      </c>
    </row>
    <row r="391" spans="46:49">
      <c r="AT391" t="s">
        <v>563</v>
      </c>
      <c r="AU391" t="s">
        <v>309</v>
      </c>
      <c r="AV391">
        <v>4143</v>
      </c>
      <c r="AW391">
        <v>89</v>
      </c>
    </row>
    <row r="392" spans="46:49">
      <c r="AT392" t="s">
        <v>564</v>
      </c>
      <c r="AU392" t="s">
        <v>309</v>
      </c>
      <c r="AV392">
        <v>4145</v>
      </c>
      <c r="AW392">
        <v>89</v>
      </c>
    </row>
    <row r="393" spans="46:49">
      <c r="AT393" t="s">
        <v>565</v>
      </c>
      <c r="AU393" t="s">
        <v>170</v>
      </c>
      <c r="AV393">
        <v>4156</v>
      </c>
      <c r="AW393">
        <v>89</v>
      </c>
    </row>
    <row r="394" spans="46:49">
      <c r="AT394" t="s">
        <v>566</v>
      </c>
      <c r="AU394" t="s">
        <v>170</v>
      </c>
      <c r="AV394">
        <v>4157</v>
      </c>
      <c r="AW394">
        <v>89</v>
      </c>
    </row>
    <row r="395" spans="46:49">
      <c r="AT395" t="s">
        <v>567</v>
      </c>
      <c r="AU395" t="s">
        <v>170</v>
      </c>
      <c r="AV395">
        <v>4158</v>
      </c>
      <c r="AW395">
        <v>89</v>
      </c>
    </row>
    <row r="396" spans="46:49">
      <c r="AT396" t="s">
        <v>568</v>
      </c>
      <c r="AU396" t="s">
        <v>170</v>
      </c>
      <c r="AV396">
        <v>4159</v>
      </c>
      <c r="AW396">
        <v>89</v>
      </c>
    </row>
    <row r="397" spans="46:49">
      <c r="AT397" t="s">
        <v>569</v>
      </c>
      <c r="AU397" t="s">
        <v>170</v>
      </c>
      <c r="AV397">
        <v>4161</v>
      </c>
      <c r="AW397">
        <v>89</v>
      </c>
    </row>
    <row r="398" spans="46:49">
      <c r="AT398" t="s">
        <v>570</v>
      </c>
      <c r="AU398" t="s">
        <v>170</v>
      </c>
      <c r="AV398">
        <v>4164</v>
      </c>
      <c r="AW398">
        <v>89</v>
      </c>
    </row>
    <row r="399" spans="46:49">
      <c r="AT399" t="s">
        <v>571</v>
      </c>
      <c r="AU399" t="s">
        <v>170</v>
      </c>
      <c r="AV399">
        <v>4165</v>
      </c>
      <c r="AW399">
        <v>89</v>
      </c>
    </row>
    <row r="400" spans="46:49">
      <c r="AT400" t="s">
        <v>572</v>
      </c>
      <c r="AU400" t="s">
        <v>170</v>
      </c>
      <c r="AV400">
        <v>4166</v>
      </c>
      <c r="AW400">
        <v>89</v>
      </c>
    </row>
    <row r="401" spans="46:49">
      <c r="AT401" t="s">
        <v>573</v>
      </c>
      <c r="AU401" t="s">
        <v>170</v>
      </c>
      <c r="AV401">
        <v>4171</v>
      </c>
      <c r="AW401">
        <v>89</v>
      </c>
    </row>
    <row r="402" spans="46:49">
      <c r="AT402" t="s">
        <v>574</v>
      </c>
      <c r="AU402" t="s">
        <v>170</v>
      </c>
      <c r="AV402">
        <v>4173</v>
      </c>
      <c r="AW402">
        <v>89</v>
      </c>
    </row>
    <row r="403" spans="46:49">
      <c r="AT403" t="s">
        <v>575</v>
      </c>
      <c r="AU403" t="s">
        <v>170</v>
      </c>
      <c r="AV403">
        <v>4174</v>
      </c>
      <c r="AW403">
        <v>89</v>
      </c>
    </row>
    <row r="404" spans="46:49">
      <c r="AT404" t="s">
        <v>576</v>
      </c>
      <c r="AU404" t="s">
        <v>189</v>
      </c>
      <c r="AV404">
        <v>4176</v>
      </c>
      <c r="AW404">
        <v>89</v>
      </c>
    </row>
    <row r="405" spans="46:49">
      <c r="AT405" t="s">
        <v>577</v>
      </c>
      <c r="AU405" t="s">
        <v>189</v>
      </c>
      <c r="AV405">
        <v>4177</v>
      </c>
      <c r="AW405">
        <v>89</v>
      </c>
    </row>
    <row r="406" spans="46:49">
      <c r="AT406" t="s">
        <v>578</v>
      </c>
      <c r="AU406" t="s">
        <v>189</v>
      </c>
      <c r="AV406">
        <v>4178</v>
      </c>
      <c r="AW406">
        <v>89</v>
      </c>
    </row>
    <row r="407" spans="46:49">
      <c r="AT407" t="s">
        <v>579</v>
      </c>
      <c r="AU407" t="s">
        <v>189</v>
      </c>
      <c r="AV407">
        <v>4179</v>
      </c>
      <c r="AW407">
        <v>89</v>
      </c>
    </row>
    <row r="408" spans="46:49">
      <c r="AT408" t="s">
        <v>580</v>
      </c>
      <c r="AU408" t="s">
        <v>189</v>
      </c>
      <c r="AV408">
        <v>4180</v>
      </c>
      <c r="AW408">
        <v>89</v>
      </c>
    </row>
    <row r="409" spans="46:49">
      <c r="AT409" t="s">
        <v>581</v>
      </c>
      <c r="AU409" t="s">
        <v>172</v>
      </c>
      <c r="AV409">
        <v>4181</v>
      </c>
      <c r="AW409">
        <v>89</v>
      </c>
    </row>
    <row r="410" spans="46:49">
      <c r="AT410" t="s">
        <v>582</v>
      </c>
      <c r="AU410" t="s">
        <v>172</v>
      </c>
      <c r="AV410">
        <v>4182</v>
      </c>
      <c r="AW410">
        <v>89</v>
      </c>
    </row>
    <row r="411" spans="46:49">
      <c r="AT411" t="s">
        <v>583</v>
      </c>
      <c r="AU411" t="s">
        <v>172</v>
      </c>
      <c r="AV411">
        <v>4183</v>
      </c>
      <c r="AW411">
        <v>89</v>
      </c>
    </row>
    <row r="412" spans="46:49">
      <c r="AT412" t="s">
        <v>584</v>
      </c>
      <c r="AU412" t="s">
        <v>172</v>
      </c>
      <c r="AV412">
        <v>4184</v>
      </c>
      <c r="AW412">
        <v>89</v>
      </c>
    </row>
    <row r="413" spans="46:49">
      <c r="AT413" t="s">
        <v>585</v>
      </c>
      <c r="AU413" t="s">
        <v>172</v>
      </c>
      <c r="AV413">
        <v>4186</v>
      </c>
      <c r="AW413">
        <v>89</v>
      </c>
    </row>
    <row r="414" spans="46:49">
      <c r="AT414" t="s">
        <v>586</v>
      </c>
      <c r="AU414" t="s">
        <v>176</v>
      </c>
      <c r="AV414">
        <v>4187</v>
      </c>
      <c r="AW414">
        <v>89</v>
      </c>
    </row>
    <row r="415" spans="46:49">
      <c r="AT415" t="s">
        <v>587</v>
      </c>
      <c r="AU415" t="s">
        <v>176</v>
      </c>
      <c r="AV415">
        <v>4188</v>
      </c>
      <c r="AW415">
        <v>89</v>
      </c>
    </row>
    <row r="416" spans="46:49">
      <c r="AT416" t="s">
        <v>588</v>
      </c>
      <c r="AU416" t="s">
        <v>176</v>
      </c>
      <c r="AV416">
        <v>4189</v>
      </c>
      <c r="AW416">
        <v>89</v>
      </c>
    </row>
    <row r="417" spans="46:49">
      <c r="AT417" t="s">
        <v>589</v>
      </c>
      <c r="AU417" t="s">
        <v>176</v>
      </c>
      <c r="AV417">
        <v>4190</v>
      </c>
      <c r="AW417">
        <v>89</v>
      </c>
    </row>
    <row r="418" spans="46:49">
      <c r="AT418" t="s">
        <v>590</v>
      </c>
      <c r="AU418" t="s">
        <v>176</v>
      </c>
      <c r="AV418">
        <v>4191</v>
      </c>
      <c r="AW418">
        <v>89</v>
      </c>
    </row>
    <row r="419" spans="46:49">
      <c r="AT419" t="s">
        <v>591</v>
      </c>
      <c r="AU419" t="s">
        <v>176</v>
      </c>
      <c r="AV419">
        <v>4193</v>
      </c>
      <c r="AW419">
        <v>89</v>
      </c>
    </row>
    <row r="420" spans="46:49">
      <c r="AT420" t="s">
        <v>592</v>
      </c>
      <c r="AU420" t="s">
        <v>176</v>
      </c>
      <c r="AV420">
        <v>4194</v>
      </c>
      <c r="AW420">
        <v>89</v>
      </c>
    </row>
    <row r="421" spans="46:49">
      <c r="AT421" t="s">
        <v>593</v>
      </c>
      <c r="AU421" t="s">
        <v>170</v>
      </c>
      <c r="AV421">
        <v>4195</v>
      </c>
      <c r="AW421">
        <v>89</v>
      </c>
    </row>
    <row r="422" spans="46:49">
      <c r="AT422" t="s">
        <v>594</v>
      </c>
      <c r="AU422" t="s">
        <v>180</v>
      </c>
      <c r="AV422">
        <v>4198</v>
      </c>
      <c r="AW422">
        <v>89</v>
      </c>
    </row>
    <row r="423" spans="46:49">
      <c r="AT423" t="s">
        <v>595</v>
      </c>
      <c r="AU423" t="s">
        <v>180</v>
      </c>
      <c r="AV423">
        <v>4199</v>
      </c>
      <c r="AW423">
        <v>89</v>
      </c>
    </row>
    <row r="424" spans="46:49">
      <c r="AT424" t="s">
        <v>596</v>
      </c>
      <c r="AU424" t="s">
        <v>180</v>
      </c>
      <c r="AV424">
        <v>4200</v>
      </c>
      <c r="AW424">
        <v>89</v>
      </c>
    </row>
    <row r="425" spans="46:49">
      <c r="AT425" t="s">
        <v>597</v>
      </c>
      <c r="AU425" t="s">
        <v>180</v>
      </c>
      <c r="AV425">
        <v>4201</v>
      </c>
      <c r="AW425">
        <v>89</v>
      </c>
    </row>
    <row r="426" spans="46:49">
      <c r="AT426" t="s">
        <v>598</v>
      </c>
      <c r="AU426" t="s">
        <v>180</v>
      </c>
      <c r="AV426">
        <v>4202</v>
      </c>
      <c r="AW426">
        <v>89</v>
      </c>
    </row>
    <row r="427" spans="46:49">
      <c r="AT427" t="s">
        <v>599</v>
      </c>
      <c r="AU427" t="s">
        <v>180</v>
      </c>
      <c r="AV427">
        <v>4203</v>
      </c>
      <c r="AW427">
        <v>89</v>
      </c>
    </row>
    <row r="428" spans="46:49">
      <c r="AT428" t="s">
        <v>600</v>
      </c>
      <c r="AU428" t="s">
        <v>172</v>
      </c>
      <c r="AV428">
        <v>4204</v>
      </c>
      <c r="AW428">
        <v>89</v>
      </c>
    </row>
    <row r="429" spans="46:49">
      <c r="AT429" t="s">
        <v>601</v>
      </c>
      <c r="AU429" t="s">
        <v>172</v>
      </c>
      <c r="AV429">
        <v>4205</v>
      </c>
      <c r="AW429">
        <v>89</v>
      </c>
    </row>
    <row r="430" spans="46:49">
      <c r="AT430" t="s">
        <v>602</v>
      </c>
      <c r="AU430" t="s">
        <v>172</v>
      </c>
      <c r="AV430">
        <v>4206</v>
      </c>
      <c r="AW430">
        <v>89</v>
      </c>
    </row>
    <row r="431" spans="46:49">
      <c r="AT431" t="s">
        <v>603</v>
      </c>
      <c r="AU431" t="s">
        <v>172</v>
      </c>
      <c r="AV431">
        <v>4207</v>
      </c>
      <c r="AW431">
        <v>89</v>
      </c>
    </row>
    <row r="432" spans="46:49">
      <c r="AT432" t="s">
        <v>604</v>
      </c>
      <c r="AU432" t="s">
        <v>180</v>
      </c>
      <c r="AV432">
        <v>4208</v>
      </c>
      <c r="AW432">
        <v>89</v>
      </c>
    </row>
    <row r="433" spans="46:49">
      <c r="AT433" t="s">
        <v>605</v>
      </c>
      <c r="AU433" t="s">
        <v>172</v>
      </c>
      <c r="AV433">
        <v>4209</v>
      </c>
      <c r="AW433">
        <v>89</v>
      </c>
    </row>
    <row r="434" spans="46:49">
      <c r="AT434" t="s">
        <v>606</v>
      </c>
      <c r="AU434" t="s">
        <v>170</v>
      </c>
      <c r="AV434">
        <v>4211</v>
      </c>
      <c r="AW434">
        <v>89</v>
      </c>
    </row>
    <row r="435" spans="46:49">
      <c r="AT435" t="s">
        <v>607</v>
      </c>
      <c r="AU435" t="s">
        <v>170</v>
      </c>
      <c r="AV435">
        <v>4212</v>
      </c>
      <c r="AW435">
        <v>89</v>
      </c>
    </row>
    <row r="436" spans="46:49">
      <c r="AT436" t="s">
        <v>608</v>
      </c>
      <c r="AU436" t="s">
        <v>170</v>
      </c>
      <c r="AV436">
        <v>4213</v>
      </c>
      <c r="AW436">
        <v>89</v>
      </c>
    </row>
    <row r="437" spans="46:49">
      <c r="AT437" t="s">
        <v>609</v>
      </c>
      <c r="AU437" t="s">
        <v>170</v>
      </c>
      <c r="AV437">
        <v>4214</v>
      </c>
      <c r="AW437">
        <v>89</v>
      </c>
    </row>
    <row r="438" spans="46:49">
      <c r="AT438" t="s">
        <v>610</v>
      </c>
      <c r="AU438" t="s">
        <v>170</v>
      </c>
      <c r="AV438">
        <v>4215</v>
      </c>
      <c r="AW438">
        <v>89</v>
      </c>
    </row>
    <row r="439" spans="46:49">
      <c r="AT439" t="s">
        <v>611</v>
      </c>
      <c r="AU439" t="s">
        <v>170</v>
      </c>
      <c r="AV439">
        <v>4216</v>
      </c>
      <c r="AW439">
        <v>89</v>
      </c>
    </row>
    <row r="440" spans="46:49">
      <c r="AT440" t="s">
        <v>612</v>
      </c>
      <c r="AU440" t="s">
        <v>170</v>
      </c>
      <c r="AV440">
        <v>4217</v>
      </c>
      <c r="AW440">
        <v>89</v>
      </c>
    </row>
    <row r="441" spans="46:49">
      <c r="AT441" t="s">
        <v>613</v>
      </c>
      <c r="AU441" t="s">
        <v>309</v>
      </c>
      <c r="AV441">
        <v>4218</v>
      </c>
      <c r="AW441">
        <v>89</v>
      </c>
    </row>
    <row r="442" spans="46:49">
      <c r="AT442" t="s">
        <v>614</v>
      </c>
      <c r="AU442" t="s">
        <v>309</v>
      </c>
      <c r="AV442">
        <v>4219</v>
      </c>
      <c r="AW442">
        <v>89</v>
      </c>
    </row>
    <row r="443" spans="46:49">
      <c r="AT443" t="s">
        <v>615</v>
      </c>
      <c r="AU443" t="s">
        <v>309</v>
      </c>
      <c r="AV443">
        <v>4220</v>
      </c>
      <c r="AW443">
        <v>89</v>
      </c>
    </row>
    <row r="444" spans="46:49">
      <c r="AT444" t="s">
        <v>616</v>
      </c>
      <c r="AU444" t="s">
        <v>309</v>
      </c>
      <c r="AV444">
        <v>4221</v>
      </c>
      <c r="AW444">
        <v>89</v>
      </c>
    </row>
    <row r="445" spans="46:49">
      <c r="AT445" t="s">
        <v>617</v>
      </c>
      <c r="AU445" t="s">
        <v>309</v>
      </c>
      <c r="AV445">
        <v>4222</v>
      </c>
      <c r="AW445">
        <v>89</v>
      </c>
    </row>
    <row r="446" spans="46:49">
      <c r="AT446" t="s">
        <v>618</v>
      </c>
      <c r="AU446" t="s">
        <v>170</v>
      </c>
      <c r="AV446">
        <v>4223</v>
      </c>
      <c r="AW446">
        <v>89</v>
      </c>
    </row>
    <row r="447" spans="46:49">
      <c r="AT447" t="s">
        <v>619</v>
      </c>
      <c r="AU447" t="s">
        <v>170</v>
      </c>
      <c r="AV447">
        <v>4224</v>
      </c>
      <c r="AW447">
        <v>89</v>
      </c>
    </row>
    <row r="448" spans="46:49">
      <c r="AT448" t="s">
        <v>620</v>
      </c>
      <c r="AU448" t="s">
        <v>189</v>
      </c>
      <c r="AV448">
        <v>4225</v>
      </c>
      <c r="AW448">
        <v>89</v>
      </c>
    </row>
    <row r="449" spans="46:49">
      <c r="AT449" t="s">
        <v>621</v>
      </c>
      <c r="AU449" t="s">
        <v>189</v>
      </c>
      <c r="AV449">
        <v>4226</v>
      </c>
      <c r="AW449">
        <v>89</v>
      </c>
    </row>
    <row r="450" spans="46:49">
      <c r="AT450" t="s">
        <v>622</v>
      </c>
      <c r="AU450" t="s">
        <v>189</v>
      </c>
      <c r="AV450">
        <v>4227</v>
      </c>
      <c r="AW450">
        <v>89</v>
      </c>
    </row>
    <row r="451" spans="46:49">
      <c r="AT451" t="s">
        <v>623</v>
      </c>
      <c r="AU451" t="s">
        <v>189</v>
      </c>
      <c r="AV451">
        <v>4231</v>
      </c>
      <c r="AW451">
        <v>89</v>
      </c>
    </row>
    <row r="452" spans="46:49">
      <c r="AT452" t="s">
        <v>624</v>
      </c>
      <c r="AU452" t="s">
        <v>189</v>
      </c>
      <c r="AV452">
        <v>4232</v>
      </c>
      <c r="AW452">
        <v>89</v>
      </c>
    </row>
    <row r="453" spans="46:49">
      <c r="AT453" t="s">
        <v>625</v>
      </c>
      <c r="AU453" t="s">
        <v>176</v>
      </c>
      <c r="AV453">
        <v>4241</v>
      </c>
      <c r="AW453">
        <v>89</v>
      </c>
    </row>
    <row r="454" spans="46:49">
      <c r="AT454" t="s">
        <v>626</v>
      </c>
      <c r="AU454" t="s">
        <v>176</v>
      </c>
      <c r="AV454">
        <v>4242</v>
      </c>
      <c r="AW454">
        <v>89</v>
      </c>
    </row>
    <row r="455" spans="46:49">
      <c r="AT455" t="s">
        <v>627</v>
      </c>
      <c r="AU455" t="s">
        <v>176</v>
      </c>
      <c r="AV455">
        <v>4243</v>
      </c>
      <c r="AW455">
        <v>89</v>
      </c>
    </row>
    <row r="456" spans="46:49">
      <c r="AT456" t="s">
        <v>628</v>
      </c>
      <c r="AU456" t="s">
        <v>180</v>
      </c>
      <c r="AV456">
        <v>4244</v>
      </c>
      <c r="AW456">
        <v>89</v>
      </c>
    </row>
    <row r="457" spans="46:49">
      <c r="AT457" t="s">
        <v>629</v>
      </c>
      <c r="AU457" t="s">
        <v>180</v>
      </c>
      <c r="AV457">
        <v>4245</v>
      </c>
      <c r="AW457">
        <v>89</v>
      </c>
    </row>
    <row r="458" spans="46:49">
      <c r="AT458" t="s">
        <v>630</v>
      </c>
      <c r="AU458" t="s">
        <v>180</v>
      </c>
      <c r="AV458">
        <v>4247</v>
      </c>
      <c r="AW458">
        <v>89</v>
      </c>
    </row>
    <row r="459" spans="46:49">
      <c r="AT459" t="s">
        <v>631</v>
      </c>
      <c r="AU459" t="s">
        <v>180</v>
      </c>
      <c r="AV459">
        <v>4248</v>
      </c>
      <c r="AW459">
        <v>89</v>
      </c>
    </row>
    <row r="460" spans="46:49">
      <c r="AT460" t="s">
        <v>632</v>
      </c>
      <c r="AU460" t="s">
        <v>172</v>
      </c>
      <c r="AV460">
        <v>4249</v>
      </c>
      <c r="AW460">
        <v>89</v>
      </c>
    </row>
    <row r="461" spans="46:49">
      <c r="AT461" t="s">
        <v>633</v>
      </c>
      <c r="AU461" t="s">
        <v>172</v>
      </c>
      <c r="AV461">
        <v>4250</v>
      </c>
      <c r="AW461">
        <v>89</v>
      </c>
    </row>
    <row r="462" spans="46:49">
      <c r="AT462" t="s">
        <v>634</v>
      </c>
      <c r="AU462" t="s">
        <v>309</v>
      </c>
      <c r="AV462">
        <v>4251</v>
      </c>
      <c r="AW462">
        <v>89</v>
      </c>
    </row>
    <row r="463" spans="46:49">
      <c r="AT463" t="s">
        <v>635</v>
      </c>
      <c r="AU463" t="s">
        <v>309</v>
      </c>
      <c r="AV463">
        <v>4252</v>
      </c>
      <c r="AW463">
        <v>89</v>
      </c>
    </row>
    <row r="464" spans="46:49">
      <c r="AT464" t="s">
        <v>636</v>
      </c>
      <c r="AU464" t="s">
        <v>309</v>
      </c>
      <c r="AV464">
        <v>4253</v>
      </c>
      <c r="AW464">
        <v>89</v>
      </c>
    </row>
    <row r="465" spans="46:49">
      <c r="AT465" t="s">
        <v>637</v>
      </c>
      <c r="AU465" t="s">
        <v>170</v>
      </c>
      <c r="AV465">
        <v>4254</v>
      </c>
      <c r="AW465">
        <v>89</v>
      </c>
    </row>
    <row r="466" spans="46:49">
      <c r="AT466" t="s">
        <v>638</v>
      </c>
      <c r="AU466" t="s">
        <v>170</v>
      </c>
      <c r="AV466">
        <v>4255</v>
      </c>
      <c r="AW466">
        <v>89</v>
      </c>
    </row>
    <row r="467" spans="46:49">
      <c r="AT467" t="s">
        <v>639</v>
      </c>
      <c r="AU467" t="s">
        <v>170</v>
      </c>
      <c r="AV467">
        <v>4256</v>
      </c>
      <c r="AW467">
        <v>89</v>
      </c>
    </row>
    <row r="468" spans="46:49">
      <c r="AT468" t="s">
        <v>640</v>
      </c>
      <c r="AU468" t="s">
        <v>170</v>
      </c>
      <c r="AV468">
        <v>4257</v>
      </c>
      <c r="AW468">
        <v>89</v>
      </c>
    </row>
    <row r="469" spans="46:49">
      <c r="AT469" t="s">
        <v>641</v>
      </c>
      <c r="AU469" t="s">
        <v>170</v>
      </c>
      <c r="AV469">
        <v>4258</v>
      </c>
      <c r="AW469">
        <v>89</v>
      </c>
    </row>
    <row r="470" spans="46:49">
      <c r="AT470" t="s">
        <v>642</v>
      </c>
      <c r="AU470" t="s">
        <v>170</v>
      </c>
      <c r="AV470">
        <v>4259</v>
      </c>
      <c r="AW470">
        <v>89</v>
      </c>
    </row>
    <row r="471" spans="46:49">
      <c r="AT471" t="s">
        <v>643</v>
      </c>
      <c r="AU471" t="s">
        <v>170</v>
      </c>
      <c r="AV471">
        <v>4260</v>
      </c>
      <c r="AW471">
        <v>89</v>
      </c>
    </row>
    <row r="472" spans="46:49">
      <c r="AT472" t="s">
        <v>644</v>
      </c>
      <c r="AU472" t="s">
        <v>309</v>
      </c>
      <c r="AV472">
        <v>4261</v>
      </c>
      <c r="AW472">
        <v>89</v>
      </c>
    </row>
    <row r="473" spans="46:49">
      <c r="AT473" t="s">
        <v>645</v>
      </c>
      <c r="AU473" t="s">
        <v>172</v>
      </c>
      <c r="AV473">
        <v>4262</v>
      </c>
      <c r="AW473">
        <v>89</v>
      </c>
    </row>
    <row r="474" spans="46:49">
      <c r="AT474" t="s">
        <v>646</v>
      </c>
      <c r="AU474" t="s">
        <v>172</v>
      </c>
      <c r="AV474">
        <v>4263</v>
      </c>
      <c r="AW474">
        <v>89</v>
      </c>
    </row>
    <row r="475" spans="46:49">
      <c r="AT475" t="s">
        <v>647</v>
      </c>
      <c r="AU475" t="s">
        <v>172</v>
      </c>
      <c r="AV475">
        <v>4264</v>
      </c>
      <c r="AW475">
        <v>89</v>
      </c>
    </row>
    <row r="476" spans="46:49">
      <c r="AT476" t="s">
        <v>648</v>
      </c>
      <c r="AU476" t="s">
        <v>172</v>
      </c>
      <c r="AV476">
        <v>4265</v>
      </c>
      <c r="AW476">
        <v>89</v>
      </c>
    </row>
    <row r="477" spans="46:49">
      <c r="AT477" t="s">
        <v>649</v>
      </c>
      <c r="AU477" t="s">
        <v>172</v>
      </c>
      <c r="AV477">
        <v>4266</v>
      </c>
      <c r="AW477">
        <v>89</v>
      </c>
    </row>
    <row r="478" spans="46:49">
      <c r="AT478" t="s">
        <v>650</v>
      </c>
      <c r="AU478" t="s">
        <v>172</v>
      </c>
      <c r="AV478">
        <v>4267</v>
      </c>
      <c r="AW478">
        <v>89</v>
      </c>
    </row>
    <row r="479" spans="46:49">
      <c r="AT479" t="s">
        <v>651</v>
      </c>
      <c r="AU479" t="s">
        <v>309</v>
      </c>
      <c r="AV479">
        <v>4282</v>
      </c>
      <c r="AW479">
        <v>89</v>
      </c>
    </row>
    <row r="480" spans="46:49">
      <c r="AT480" t="s">
        <v>652</v>
      </c>
      <c r="AU480" t="s">
        <v>180</v>
      </c>
      <c r="AV480">
        <v>4283</v>
      </c>
      <c r="AW480">
        <v>89</v>
      </c>
    </row>
    <row r="481" spans="46:49">
      <c r="AT481" t="s">
        <v>653</v>
      </c>
      <c r="AU481" t="s">
        <v>309</v>
      </c>
      <c r="AV481">
        <v>4284</v>
      </c>
      <c r="AW481">
        <v>89</v>
      </c>
    </row>
    <row r="482" spans="46:49">
      <c r="AT482" t="s">
        <v>654</v>
      </c>
      <c r="AU482" t="s">
        <v>170</v>
      </c>
      <c r="AV482">
        <v>6110</v>
      </c>
      <c r="AW482">
        <v>89</v>
      </c>
    </row>
    <row r="483" spans="46:49">
      <c r="AT483" t="s">
        <v>655</v>
      </c>
      <c r="AU483" t="s">
        <v>170</v>
      </c>
      <c r="AV483">
        <v>6116</v>
      </c>
      <c r="AW483">
        <v>89</v>
      </c>
    </row>
    <row r="484" spans="46:49">
      <c r="AT484" t="s">
        <v>656</v>
      </c>
      <c r="AU484" t="s">
        <v>170</v>
      </c>
      <c r="AV484">
        <v>6148</v>
      </c>
      <c r="AW484">
        <v>89</v>
      </c>
    </row>
    <row r="485" spans="46:49">
      <c r="AT485" t="s">
        <v>657</v>
      </c>
      <c r="AU485" t="s">
        <v>309</v>
      </c>
      <c r="AV485">
        <v>6200</v>
      </c>
      <c r="AW485">
        <v>89</v>
      </c>
    </row>
    <row r="486" spans="46:49">
      <c r="AT486" t="s">
        <v>658</v>
      </c>
      <c r="AU486" t="s">
        <v>309</v>
      </c>
      <c r="AV486">
        <v>6208</v>
      </c>
      <c r="AW486">
        <v>89</v>
      </c>
    </row>
    <row r="487" spans="46:49">
      <c r="AT487" t="s">
        <v>659</v>
      </c>
      <c r="AU487" t="s">
        <v>170</v>
      </c>
      <c r="AV487">
        <v>6212</v>
      </c>
      <c r="AW487">
        <v>89</v>
      </c>
    </row>
    <row r="488" spans="46:49">
      <c r="AT488" t="s">
        <v>660</v>
      </c>
      <c r="AU488" t="s">
        <v>309</v>
      </c>
      <c r="AV488">
        <v>6217</v>
      </c>
      <c r="AW488">
        <v>89</v>
      </c>
    </row>
    <row r="489" spans="46:49">
      <c r="AT489" t="s">
        <v>661</v>
      </c>
      <c r="AU489" t="s">
        <v>170</v>
      </c>
      <c r="AV489">
        <v>6235</v>
      </c>
      <c r="AW489">
        <v>89</v>
      </c>
    </row>
    <row r="490" spans="46:49">
      <c r="AT490" t="s">
        <v>662</v>
      </c>
      <c r="AU490" t="s">
        <v>309</v>
      </c>
      <c r="AV490">
        <v>6238</v>
      </c>
      <c r="AW490">
        <v>89</v>
      </c>
    </row>
    <row r="491" spans="46:49">
      <c r="AT491" t="s">
        <v>663</v>
      </c>
      <c r="AU491" t="s">
        <v>309</v>
      </c>
      <c r="AV491">
        <v>6240</v>
      </c>
      <c r="AW491">
        <v>89</v>
      </c>
    </row>
    <row r="492" spans="46:49">
      <c r="AT492" t="s">
        <v>664</v>
      </c>
      <c r="AU492" t="s">
        <v>170</v>
      </c>
      <c r="AV492">
        <v>6242</v>
      </c>
      <c r="AW492">
        <v>89</v>
      </c>
    </row>
    <row r="493" spans="46:49">
      <c r="AT493" t="s">
        <v>665</v>
      </c>
      <c r="AU493" t="s">
        <v>170</v>
      </c>
      <c r="AV493">
        <v>6296</v>
      </c>
      <c r="AW493">
        <v>89</v>
      </c>
    </row>
    <row r="494" spans="46:49">
      <c r="AT494" t="s">
        <v>666</v>
      </c>
      <c r="AU494" t="s">
        <v>309</v>
      </c>
      <c r="AV494">
        <v>6299</v>
      </c>
      <c r="AW494">
        <v>89</v>
      </c>
    </row>
    <row r="495" spans="46:49">
      <c r="AT495" t="s">
        <v>667</v>
      </c>
      <c r="AU495" t="s">
        <v>309</v>
      </c>
      <c r="AV495">
        <v>6305</v>
      </c>
      <c r="AW495">
        <v>89</v>
      </c>
    </row>
    <row r="496" spans="46:49">
      <c r="AT496" t="s">
        <v>668</v>
      </c>
      <c r="AU496" t="s">
        <v>170</v>
      </c>
      <c r="AV496">
        <v>6310</v>
      </c>
      <c r="AW496">
        <v>89</v>
      </c>
    </row>
    <row r="497" spans="46:49">
      <c r="AT497" t="s">
        <v>669</v>
      </c>
      <c r="AU497" t="s">
        <v>309</v>
      </c>
      <c r="AV497">
        <v>6311</v>
      </c>
      <c r="AW497">
        <v>89</v>
      </c>
    </row>
    <row r="498" spans="46:49">
      <c r="AT498" t="s">
        <v>670</v>
      </c>
      <c r="AU498" t="s">
        <v>309</v>
      </c>
      <c r="AV498">
        <v>6325</v>
      </c>
      <c r="AW498">
        <v>89</v>
      </c>
    </row>
    <row r="499" spans="46:49">
      <c r="AT499" t="s">
        <v>671</v>
      </c>
      <c r="AU499" t="s">
        <v>176</v>
      </c>
      <c r="AV499" t="s">
        <v>973</v>
      </c>
      <c r="AW499">
        <v>89</v>
      </c>
    </row>
    <row r="500" spans="46:49">
      <c r="AT500" t="s">
        <v>672</v>
      </c>
      <c r="AU500" t="s">
        <v>176</v>
      </c>
      <c r="AV500" t="s">
        <v>974</v>
      </c>
      <c r="AW500">
        <v>89</v>
      </c>
    </row>
    <row r="501" spans="46:49">
      <c r="AT501" t="s">
        <v>673</v>
      </c>
      <c r="AU501" t="s">
        <v>176</v>
      </c>
      <c r="AV501" t="s">
        <v>975</v>
      </c>
      <c r="AW501">
        <v>89</v>
      </c>
    </row>
    <row r="502" spans="46:49">
      <c r="AT502" t="s">
        <v>674</v>
      </c>
      <c r="AU502" t="s">
        <v>176</v>
      </c>
      <c r="AV502" t="s">
        <v>976</v>
      </c>
      <c r="AW502">
        <v>89</v>
      </c>
    </row>
    <row r="503" spans="46:49">
      <c r="AT503" t="s">
        <v>675</v>
      </c>
      <c r="AU503" t="s">
        <v>176</v>
      </c>
      <c r="AV503" t="s">
        <v>977</v>
      </c>
      <c r="AW503">
        <v>89</v>
      </c>
    </row>
    <row r="504" spans="46:49">
      <c r="AT504" t="s">
        <v>676</v>
      </c>
      <c r="AU504" t="s">
        <v>176</v>
      </c>
      <c r="AV504" t="s">
        <v>978</v>
      </c>
      <c r="AW504">
        <v>89</v>
      </c>
    </row>
    <row r="505" spans="46:49">
      <c r="AT505" t="s">
        <v>677</v>
      </c>
      <c r="AU505" t="s">
        <v>176</v>
      </c>
      <c r="AV505" t="s">
        <v>979</v>
      </c>
      <c r="AW505">
        <v>89</v>
      </c>
    </row>
    <row r="506" spans="46:49">
      <c r="AT506" t="s">
        <v>678</v>
      </c>
      <c r="AU506" t="s">
        <v>176</v>
      </c>
      <c r="AV506" t="s">
        <v>980</v>
      </c>
      <c r="AW506">
        <v>89</v>
      </c>
    </row>
    <row r="507" spans="46:49">
      <c r="AT507" t="s">
        <v>679</v>
      </c>
      <c r="AU507" t="s">
        <v>176</v>
      </c>
      <c r="AV507" t="s">
        <v>981</v>
      </c>
      <c r="AW507">
        <v>89</v>
      </c>
    </row>
    <row r="508" spans="46:49">
      <c r="AT508" t="s">
        <v>680</v>
      </c>
      <c r="AU508" t="s">
        <v>176</v>
      </c>
      <c r="AV508" t="s">
        <v>982</v>
      </c>
      <c r="AW508">
        <v>89</v>
      </c>
    </row>
    <row r="509" spans="46:49">
      <c r="AT509" t="s">
        <v>681</v>
      </c>
      <c r="AU509" t="s">
        <v>176</v>
      </c>
      <c r="AV509" t="s">
        <v>983</v>
      </c>
      <c r="AW509">
        <v>89</v>
      </c>
    </row>
    <row r="510" spans="46:49">
      <c r="AT510" t="s">
        <v>682</v>
      </c>
      <c r="AU510" t="s">
        <v>176</v>
      </c>
      <c r="AV510" t="s">
        <v>984</v>
      </c>
      <c r="AW510">
        <v>89</v>
      </c>
    </row>
    <row r="511" spans="46:49">
      <c r="AT511" t="s">
        <v>683</v>
      </c>
      <c r="AU511" t="s">
        <v>172</v>
      </c>
      <c r="AV511" t="s">
        <v>985</v>
      </c>
      <c r="AW511">
        <v>89</v>
      </c>
    </row>
    <row r="512" spans="46:49">
      <c r="AT512" t="s">
        <v>684</v>
      </c>
      <c r="AU512" t="s">
        <v>172</v>
      </c>
      <c r="AV512" t="s">
        <v>986</v>
      </c>
      <c r="AW512">
        <v>89</v>
      </c>
    </row>
    <row r="513" spans="46:49">
      <c r="AT513" t="s">
        <v>685</v>
      </c>
      <c r="AU513" t="s">
        <v>172</v>
      </c>
      <c r="AV513" t="s">
        <v>987</v>
      </c>
      <c r="AW513">
        <v>89</v>
      </c>
    </row>
    <row r="514" spans="46:49">
      <c r="AT514" t="s">
        <v>686</v>
      </c>
      <c r="AU514" t="s">
        <v>170</v>
      </c>
      <c r="AV514" t="s">
        <v>988</v>
      </c>
      <c r="AW514">
        <v>89</v>
      </c>
    </row>
    <row r="515" spans="46:49">
      <c r="AT515" t="s">
        <v>698</v>
      </c>
      <c r="AU515" t="s">
        <v>140</v>
      </c>
      <c r="AV515" t="s">
        <v>140</v>
      </c>
      <c r="AW515" t="s">
        <v>140</v>
      </c>
    </row>
  </sheetData>
  <phoneticPr fontId="130" type="noConversion"/>
  <hyperlinks>
    <hyperlink ref="B8" r:id="rId1" xr:uid="{2639FEDB-5435-47E8-90A1-0871A1E9EDB9}"/>
  </hyperlinks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2025-09-17T08:57:13Z</dcterms:created>
  <dc:creator>Tomasz Kurowski</dc:creator>
  <cp:lastModifiedBy>Rafał Kozłowski</cp:lastModifiedBy>
  <dcterms:modified xsi:type="dcterms:W3CDTF">2026-02-05T13:38:54Z</dcterms:modified>
</cp:coreProperties>
</file>