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Nagłówek</t>
        </is>
      </c>
      <c r="C1" t="inlineStr">
        <is>
          <t>Pozycja</t>
        </is>
      </c>
      <c r="E1" t="inlineStr">
        <is>
          <t>Identyfikator</t>
        </is>
      </c>
      <c r="F1" t="inlineStr">
        <is>
          <t>Wart</t>
        </is>
      </c>
      <c r="G1" t="inlineStr">
        <is>
          <t>Wart_opis</t>
        </is>
      </c>
      <c r="H1" t="inlineStr">
        <is>
          <t>Alias</t>
        </is>
      </c>
      <c r="I1" t="inlineStr">
        <is>
          <t>Alias_opis</t>
        </is>
      </c>
      <c r="J1" t="inlineStr">
        <is>
          <t>Tytuł</t>
        </is>
      </c>
      <c r="K1" t="inlineStr">
        <is>
          <t>Widoczny</t>
        </is>
      </c>
      <c r="L1" t="inlineStr">
        <is>
          <t>Słownik</t>
        </is>
      </c>
      <c r="N1" t="inlineStr">
        <is>
          <t>Rej</t>
        </is>
      </c>
      <c r="P1" t="inlineStr">
        <is>
          <t>Poz</t>
        </is>
      </c>
    </row>
    <row r="2">
      <c r="E2" t="inlineStr">
        <is>
          <t>ILOSC</t>
        </is>
      </c>
      <c r="N2" t="inlineStr">
        <is>
          <t>organizacja_kod</t>
        </is>
      </c>
      <c r="O2">
        <f>IF($B$11="Cozy","05",IF($B$11="HKL","04",IF($B$11="LuxanGmbH","03",IF($B$11="FENIX","02",IF($B$11="LuxanEwaKrawczyk","01","00")))))</f>
        <v/>
      </c>
      <c r="P2" t="inlineStr">
        <is>
          <t>kom</t>
        </is>
      </c>
      <c r="Q2">
        <f>"EO/"&amp;$B$10&amp;"/"&amp;D4&amp;"/"&amp;$B$6&amp;"-"&amp;$D$7</f>
        <v/>
      </c>
    </row>
    <row r="3">
      <c r="E3" t="inlineStr">
        <is>
          <t>MODEL</t>
        </is>
      </c>
      <c r="N3" t="inlineStr">
        <is>
          <t>organizacja</t>
        </is>
      </c>
      <c r="O3">
        <f>B11</f>
        <v/>
      </c>
      <c r="P3" t="inlineStr">
        <is>
          <t>odbiorca</t>
        </is>
      </c>
      <c r="Q3">
        <f>$B$15</f>
        <v/>
      </c>
    </row>
    <row r="4">
      <c r="E4" t="inlineStr">
        <is>
          <t>PROD</t>
        </is>
      </c>
      <c r="N4" t="inlineStr">
        <is>
          <t>uzytkownik</t>
        </is>
      </c>
      <c r="O4">
        <f>B15</f>
        <v/>
      </c>
      <c r="P4" t="inlineStr">
        <is>
          <t>dealer</t>
        </is>
      </c>
    </row>
    <row r="5">
      <c r="E5" t="inlineStr">
        <is>
          <t>KOLOR</t>
        </is>
      </c>
      <c r="N5" t="inlineStr">
        <is>
          <t>ident</t>
        </is>
      </c>
      <c r="O5">
        <f>B15&amp;"-"&amp;B10</f>
        <v/>
      </c>
      <c r="P5" t="inlineStr">
        <is>
          <t>kooperant</t>
        </is>
      </c>
    </row>
    <row r="6">
      <c r="E6" t="inlineStr">
        <is>
          <t>KOLOR_RAMY</t>
        </is>
      </c>
      <c r="N6" t="inlineStr">
        <is>
          <t>uwagi</t>
        </is>
      </c>
      <c r="O6">
        <f>$B$6</f>
        <v/>
      </c>
      <c r="P6" t="inlineStr">
        <is>
          <t>sprzedawca</t>
        </is>
      </c>
      <c r="Q6">
        <f>B11</f>
        <v/>
      </c>
    </row>
    <row r="7">
      <c r="E7" t="inlineStr">
        <is>
          <t>KOLOR_SYSTE</t>
        </is>
      </c>
      <c r="P7" t="inlineStr">
        <is>
          <t>adres_ident</t>
        </is>
      </c>
      <c r="Q7">
        <f>$B$15</f>
        <v/>
      </c>
    </row>
    <row r="8">
      <c r="E8" t="inlineStr">
        <is>
          <t>KOLOR_DODATKOWY</t>
        </is>
      </c>
      <c r="P8" t="inlineStr">
        <is>
          <t>adres_nazwa</t>
        </is>
      </c>
    </row>
    <row r="9">
      <c r="E9" t="inlineStr">
        <is>
          <t>KOLOR_LAM</t>
        </is>
      </c>
      <c r="P9" t="inlineStr">
        <is>
          <t>adres_adres</t>
        </is>
      </c>
      <c r="Q9">
        <f>$B$2</f>
        <v/>
      </c>
    </row>
    <row r="10">
      <c r="E10" t="inlineStr">
        <is>
          <t>KOLORSYS_ALU</t>
        </is>
      </c>
      <c r="P10" t="inlineStr">
        <is>
          <t>adres_kodpoczt</t>
        </is>
      </c>
      <c r="Q10">
        <f>$B$16</f>
        <v/>
      </c>
    </row>
    <row r="11">
      <c r="E11" t="inlineStr">
        <is>
          <t>SZEROKOSC</t>
        </is>
      </c>
      <c r="P11" t="inlineStr">
        <is>
          <t>adres_miejscowosc</t>
        </is>
      </c>
      <c r="Q11">
        <f>$B$3</f>
        <v/>
      </c>
    </row>
    <row r="12">
      <c r="E12" t="inlineStr">
        <is>
          <t>WYSOKOSC</t>
        </is>
      </c>
      <c r="P12" t="inlineStr">
        <is>
          <t>adres_kraj</t>
        </is>
      </c>
      <c r="Q12">
        <f>$B$7</f>
        <v/>
      </c>
    </row>
    <row r="13">
      <c r="E13" t="inlineStr">
        <is>
          <t>STEROWANIE</t>
        </is>
      </c>
      <c r="P13" t="inlineStr">
        <is>
          <t>adres_nrtel</t>
        </is>
      </c>
      <c r="Q13">
        <f>$B$12</f>
        <v/>
      </c>
    </row>
    <row r="14">
      <c r="E14" t="inlineStr">
        <is>
          <t>CENA</t>
        </is>
      </c>
      <c r="P14" t="inlineStr">
        <is>
          <t>adres_email</t>
        </is>
      </c>
      <c r="Q14">
        <f>$B$8</f>
        <v/>
      </c>
    </row>
    <row r="15">
      <c r="E15" t="inlineStr">
        <is>
          <t>CENA_SUMA</t>
        </is>
      </c>
      <c r="P15" t="inlineStr">
        <is>
          <t>adres_region</t>
        </is>
      </c>
    </row>
    <row r="16">
      <c r="E16" t="inlineStr">
        <is>
          <t>CENA_RABAT</t>
        </is>
      </c>
      <c r="P16" t="inlineStr">
        <is>
          <t>uwagi</t>
        </is>
      </c>
      <c r="Q16">
        <f>$D$3</f>
        <v/>
      </c>
    </row>
    <row r="17">
      <c r="E17" t="inlineStr">
        <is>
          <t>DOPLATA</t>
        </is>
      </c>
      <c r="P17" t="inlineStr">
        <is>
          <t>liczba</t>
        </is>
      </c>
      <c r="Q17">
        <f>F2</f>
        <v/>
      </c>
    </row>
    <row r="18">
      <c r="E18" t="inlineStr">
        <is>
          <t>SUMA_BRUTTO</t>
        </is>
      </c>
      <c r="P18" t="inlineStr">
        <is>
          <t>ilosc</t>
        </is>
      </c>
      <c r="Q18" t="n">
        <v>1</v>
      </c>
    </row>
    <row r="19">
      <c r="E19" t="inlineStr">
        <is>
          <t>WARTOSC_KONCOWA</t>
        </is>
      </c>
      <c r="P19" t="inlineStr">
        <is>
          <t>cena_podst</t>
        </is>
      </c>
      <c r="Q19">
        <f>IF(ISERROR($F$14/1),0,$F$14)</f>
        <v/>
      </c>
    </row>
    <row r="20">
      <c r="E20" t="inlineStr">
        <is>
          <t>CENA_KONCOWA</t>
        </is>
      </c>
      <c r="P20" t="inlineStr">
        <is>
          <t>rabat_proc</t>
        </is>
      </c>
      <c r="Q20">
        <f>ROUND(IF(ISERROR($Q$21/$Q$19),0,$Q$21/$Q$19),4)</f>
        <v/>
      </c>
    </row>
    <row r="21">
      <c r="E21" t="inlineStr">
        <is>
          <t>OPIS_POZYCJI</t>
        </is>
      </c>
      <c r="P21" t="inlineStr">
        <is>
          <t>rabat</t>
        </is>
      </c>
      <c r="Q21">
        <f>$Q$19-$Q$22</f>
        <v/>
      </c>
    </row>
    <row r="22">
      <c r="E22" t="inlineStr">
        <is>
          <t>OPIS_CENY</t>
        </is>
      </c>
      <c r="P22" t="inlineStr">
        <is>
          <t>cena</t>
        </is>
      </c>
      <c r="Q22">
        <f>IF(ISERROR($F$20/1),Q19,$F$20)</f>
        <v/>
      </c>
    </row>
    <row r="23">
      <c r="E23" t="inlineStr">
        <is>
          <t>OPIS_RABATU</t>
        </is>
      </c>
      <c r="P23" t="inlineStr">
        <is>
          <t>nazwa</t>
        </is>
      </c>
      <c r="Q23">
        <f>$D$8&amp;" "&amp;$D$6&amp;" "&amp;$F$21</f>
        <v/>
      </c>
    </row>
    <row r="24">
      <c r="P24" t="inlineStr">
        <is>
          <t>cena_info</t>
        </is>
      </c>
      <c r="Q24">
        <f>$F$22</f>
        <v/>
      </c>
    </row>
    <row r="25">
      <c r="P25" t="inlineStr">
        <is>
          <t>rabat_info</t>
        </is>
      </c>
      <c r="Q25">
        <f>$F$23</f>
        <v/>
      </c>
    </row>
    <row r="26">
      <c r="P26" t="inlineStr">
        <is>
          <t>grupa_cenowa</t>
        </is>
      </c>
      <c r="Q26">
        <f>IF(ISERROR(FIND("#",$I$7,1)),"-",MID($I$7,FIND("#",$I$7,1)+1,20))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2026-02-18T23:04:45Z</dcterms:created>
  <dcterms:modified xmlns:dcterms="http://purl.org/dc/terms/" xmlns:xsi="http://www.w3.org/2001/XMLSchema-instance" xsi:type="dcterms:W3CDTF">2026-02-18T23:04:45Z</dcterms:modified>
</cp:coreProperties>
</file>