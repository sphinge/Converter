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2CB7FB38-DB6D-41A2-A738-EB1B1E8E6F91}" xr6:coauthVersionLast="47" xr6:coauthVersionMax="47" xr10:uidLastSave="{00000000-0000-0000-0000-000000000000}"/>
  <bookViews>
    <workbookView xWindow="-1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6" i="1" l="1"/>
  <c r="Q25" i="1"/>
  <c r="Q24" i="1"/>
  <c r="S16" i="1" l="1"/>
  <c r="S1" i="1"/>
  <c r="U25" i="1" l="1"/>
  <c r="U9" i="1"/>
  <c r="U8" i="1"/>
  <c r="Q8" i="1" l="1"/>
  <c r="S11" i="1"/>
  <c r="S12" i="1"/>
  <c r="S27" i="1"/>
  <c r="Q17" i="1" l="1"/>
  <c r="Q2" i="1"/>
  <c r="Q22" i="1"/>
  <c r="Q19" i="1"/>
  <c r="O6" i="1"/>
  <c r="O5" i="1"/>
  <c r="O4" i="1"/>
  <c r="O3" i="1"/>
  <c r="O2" i="1"/>
  <c r="Y1" i="1"/>
  <c r="X1" i="1"/>
  <c r="V2" i="1" s="1"/>
  <c r="S5" i="1" l="1"/>
  <c r="AN1" i="1"/>
  <c r="S4" i="1"/>
  <c r="S19" i="1"/>
  <c r="S8" i="1"/>
  <c r="S3" i="1"/>
  <c r="S17" i="1"/>
  <c r="S2" i="1"/>
  <c r="U1" i="1"/>
  <c r="Q21" i="1"/>
  <c r="Q20" i="1" s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<sst xmlns="http://schemas.openxmlformats.org/spreadsheetml/2006/main" count="771" uniqueCount="412">
  <si>
    <t>Identyfikator</t>
  </si>
  <si>
    <t>ILOSC</t>
  </si>
  <si>
    <t>MODEL</t>
  </si>
  <si>
    <t>KOLOR</t>
  </si>
  <si>
    <t>SZEROKOSC</t>
  </si>
  <si>
    <t>WYSOKOSC</t>
  </si>
  <si>
    <t>STRONA_STEROWANIA</t>
  </si>
  <si>
    <t>MOTOR</t>
  </si>
  <si>
    <t>ZASILANIE</t>
  </si>
  <si>
    <t>PILOT</t>
  </si>
  <si>
    <t>AUTOMATYKA</t>
  </si>
  <si>
    <t>OCHRONA_CHILD_SAFETY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</si>
  <si>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</si>
  <si>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</si>
  <si>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</si>
  <si>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</si>
  <si>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</si>
  <si>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</si>
  <si>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</si>
  <si>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</si>
  <si>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</si>
  <si>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</si>
  <si>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</si>
  <si>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</si>
  <si>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</si>
  <si>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</si>
  <si>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</si>
  <si>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</si>
  <si>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</si>
  <si>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</si>
  <si>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</si>
  <si>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</si>
  <si>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</si>
  <si>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</si>
  <si>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</si>
  <si>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</si>
  <si>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</si>
  <si>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</si>
  <si>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</si>
  <si>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</si>
  <si>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</si>
  <si>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</si>
  <si>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</si>
  <si>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</si>
  <si>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</si>
  <si>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</si>
  <si>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</si>
  <si>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</si>
  <si>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</si>
  <si>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</si>
  <si>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</si>
  <si>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</si>
  <si>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</si>
  <si>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</si>
  <si>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</si>
  <si>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</si>
  <si>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</si>
  <si>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</si>
  <si>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</si>
  <si>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</si>
  <si>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</si>
  <si>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</si>
  <si>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</si>
  <si>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</si>
  <si>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</si>
  <si>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</si>
  <si>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</si>
  <si>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</si>
  <si>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</si>
  <si>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</si>
  <si>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</si>
  <si>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</si>
  <si>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</si>
  <si>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</si>
  <si>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</si>
  <si>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</si>
  <si>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</si>
  <si>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</si>
  <si>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</si>
  <si>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</si>
  <si>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</si>
  <si>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</si>
  <si>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</si>
  <si>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KOLOR SYSTEMU</t>
  </si>
  <si>
    <t>STRONA STEROWANIA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</si>
  <si>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</si>
  <si>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</si>
  <si>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</si>
  <si>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</si>
  <si>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</si>
  <si>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</si>
  <si>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</si>
  <si>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</si>
  <si>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</si>
  <si>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</si>
  <si>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</si>
  <si>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</si>
  <si>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</si>
  <si>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</si>
  <si>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</si>
  <si>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</si>
  <si>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</si>
  <si>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</si>
  <si>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</si>
  <si>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</si>
  <si>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RR1</t>
  </si>
  <si>
    <t>RaffRollo</t>
  </si>
  <si>
    <t>organizacja_kod</t>
  </si>
  <si>
    <t>uzytkownik</t>
  </si>
  <si>
    <t>nnn</t>
  </si>
  <si>
    <t>user</t>
  </si>
  <si>
    <t>ppp</t>
  </si>
  <si>
    <t>liczba</t>
  </si>
  <si>
    <t>ilosc</t>
  </si>
  <si>
    <t>KONFIGURACJA</t>
  </si>
  <si>
    <t>SYSTEM</t>
  </si>
  <si>
    <t>STOFF</t>
  </si>
  <si>
    <t>RODZAJ_SZYCIA</t>
  </si>
  <si>
    <t>STEROWANIE</t>
  </si>
  <si>
    <t>KOLOR_SYSTEMU</t>
  </si>
  <si>
    <t>TKB</t>
  </si>
  <si>
    <t>TKH</t>
  </si>
  <si>
    <t>SZER_SYS</t>
  </si>
  <si>
    <t>KORALIK_OBSL</t>
  </si>
  <si>
    <t>PRODUKT</t>
  </si>
  <si>
    <t>TKANINA</t>
  </si>
  <si>
    <t>TKANIA POWIERZONA - WPISZ NAZWE I/LUB KOD TKANINY</t>
  </si>
  <si>
    <t>RODZAJ SZYCIA</t>
  </si>
  <si>
    <t>SZEROKOŚĆ[MM]</t>
  </si>
  <si>
    <t>WYSOKOŚĆ[MM]</t>
  </si>
  <si>
    <t xml:space="preserve">ILE TKANIY POTZREBNE SZEROKOŚĆ[MM] </t>
  </si>
  <si>
    <t>ILE TKANIY POTZREBNE WYSOKOSĆ[MM]</t>
  </si>
  <si>
    <t>SZEROKOŚĆ SYSTEMU[MM]</t>
  </si>
  <si>
    <t>KORALIK</t>
  </si>
  <si>
    <t>CHILD SAFETY</t>
  </si>
  <si>
    <t>DŁUGOŚĆ STEROWANIA [MM]</t>
  </si>
  <si>
    <t>POW [M2]</t>
  </si>
  <si>
    <t>RAFFROLLO#24#</t>
  </si>
  <si>
    <t>-</t>
  </si>
  <si>
    <t>Typ</t>
  </si>
  <si>
    <t>Kolor</t>
  </si>
  <si>
    <t>B</t>
  </si>
  <si>
    <t>L</t>
  </si>
  <si>
    <t>Ster</t>
  </si>
  <si>
    <t>LSter</t>
  </si>
  <si>
    <t>Tuba</t>
  </si>
  <si>
    <t>Symbol</t>
  </si>
  <si>
    <t>Model</t>
  </si>
  <si>
    <t>Segm</t>
  </si>
  <si>
    <t>SegmSkr</t>
  </si>
  <si>
    <t>SegmWew</t>
  </si>
  <si>
    <t>UchG</t>
  </si>
  <si>
    <t>NL_Model</t>
  </si>
  <si>
    <t>System</t>
  </si>
  <si>
    <t>SysKol</t>
  </si>
  <si>
    <t>PB</t>
  </si>
  <si>
    <t>UchD</t>
  </si>
  <si>
    <t>ST</t>
  </si>
  <si>
    <t>Opis_pozycji</t>
  </si>
  <si>
    <t>EL</t>
  </si>
  <si>
    <t>KOLOR_ZAM</t>
  </si>
  <si>
    <t>MONT_H</t>
  </si>
  <si>
    <t>UCH_BOCZ</t>
  </si>
  <si>
    <t>CS</t>
  </si>
  <si>
    <t>MONT</t>
  </si>
  <si>
    <t>FOLDS#19#</t>
  </si>
  <si>
    <t>KolorZam</t>
  </si>
  <si>
    <t>Obc</t>
  </si>
  <si>
    <t>Luxan</t>
  </si>
  <si>
    <t>CTR_XL</t>
  </si>
  <si>
    <t>KOLL</t>
  </si>
  <si>
    <t>S_N</t>
  </si>
  <si>
    <t>S</t>
  </si>
  <si>
    <t>N</t>
  </si>
  <si>
    <t>&lt;NULL&gt;</t>
  </si>
  <si>
    <t>SZYCIE Z TKANINY POWIERZONEJ PLUS SYSTEM</t>
  </si>
  <si>
    <t>SAM SYSTEM</t>
  </si>
  <si>
    <t>SAMO SZYCIE Z TKANINY POWIERZONEJ</t>
  </si>
  <si>
    <t>#24#</t>
  </si>
  <si>
    <t>TYP_PROD</t>
  </si>
  <si>
    <t>TYP_PROD_OPIS</t>
  </si>
  <si>
    <t>R</t>
  </si>
  <si>
    <t>K2</t>
  </si>
  <si>
    <t>K1</t>
  </si>
  <si>
    <t>Raffrollo - Stoff und System oder nur System (Tkanina i System lub sam System)</t>
  </si>
  <si>
    <t>System CTR</t>
  </si>
  <si>
    <t>Raffrollostoffe Konfektionirung (Szycie powierzonej tkaniny)</t>
  </si>
  <si>
    <t>Raffrollostoffe Konfektionirung + System (Szycie powierzonej tkaniny i nasz system)</t>
  </si>
  <si>
    <t>System CTR XL</t>
  </si>
  <si>
    <t>EasyPin</t>
  </si>
  <si>
    <t>System Easy Pin</t>
  </si>
  <si>
    <t>SYSTEM-EFOR</t>
  </si>
  <si>
    <t>EP</t>
  </si>
  <si>
    <t>LXL</t>
  </si>
  <si>
    <t>RR</t>
  </si>
  <si>
    <t>SYSTEM-PROD</t>
  </si>
  <si>
    <t>KOLOR-EFOR</t>
  </si>
  <si>
    <t>KOLOR-EFOR_OPIS</t>
  </si>
  <si>
    <t>PG #4</t>
  </si>
  <si>
    <t>PG #2</t>
  </si>
  <si>
    <t>PG #1</t>
  </si>
  <si>
    <t>PG #3</t>
  </si>
  <si>
    <t>grupa_cenowa</t>
  </si>
  <si>
    <t>KOLOR-PROD</t>
  </si>
  <si>
    <t>KOLOR-PROD_OPIS</t>
  </si>
  <si>
    <t>RODZAJ_SZYCIA-EFOR_OPIS</t>
  </si>
  <si>
    <t>MODEL-PROD</t>
  </si>
  <si>
    <t>MODEL-PROD_OPIS</t>
  </si>
  <si>
    <t>C</t>
  </si>
  <si>
    <t>Modell C poprzeczki w tunelu z tyłu</t>
  </si>
  <si>
    <t>Raffrollostoffe model 5C</t>
  </si>
  <si>
    <t>D</t>
  </si>
  <si>
    <t>Modell C poprzeczki w tunelu z przedu</t>
  </si>
  <si>
    <t>Raffrollostoffe model Holenderski 2</t>
  </si>
  <si>
    <t>A</t>
  </si>
  <si>
    <t>Modell A (ohne Querstäbe)</t>
  </si>
  <si>
    <t>Raffrollostoffe model 5A</t>
  </si>
  <si>
    <t>Modell B poprzeczki w tasiemce</t>
  </si>
  <si>
    <t>Raffrollostoffe model 5B</t>
  </si>
  <si>
    <t>KOLOR_SYSTEMU-EFOR</t>
  </si>
  <si>
    <t>KOLOR_SYSTEMU-EFOR_OPIS</t>
  </si>
  <si>
    <t>SYSKOL-PROD</t>
  </si>
  <si>
    <t>SYSKOL_PROD-OPIS</t>
  </si>
  <si>
    <t>W</t>
  </si>
  <si>
    <t>biały</t>
  </si>
  <si>
    <t>Biały</t>
  </si>
  <si>
    <t>czarny</t>
  </si>
  <si>
    <t>Czarny</t>
  </si>
  <si>
    <t>3487 FOLD1701 PAPER/POLYSTER WOVEN FABRIC 240CM LF505 WARM COCOA</t>
  </si>
  <si>
    <t>BR</t>
  </si>
  <si>
    <t>brązowy</t>
  </si>
  <si>
    <t>Brązowy</t>
  </si>
  <si>
    <t>G</t>
  </si>
  <si>
    <t>szary</t>
  </si>
  <si>
    <t>Szary</t>
  </si>
  <si>
    <t>kremowy</t>
  </si>
  <si>
    <t>Kremowy</t>
  </si>
  <si>
    <t>3486 FOLD1700 PAPER/POLYSTER WOVEN FABRIC 240CM, LF501 SNOW WHITE</t>
  </si>
  <si>
    <t>3490 FOLD1704 PAPER/POLYSTER WOVEN FABRIC 240CM LF034 DESERT BREEZE</t>
  </si>
  <si>
    <t>OCHRONA_CHILD_SAFETY-EFOR</t>
  </si>
  <si>
    <t>OCHRONA_CHILD_SAFETY-EFOR_OPIS</t>
  </si>
  <si>
    <t>CS-PROD</t>
  </si>
  <si>
    <t>CS-PROD_OPIS</t>
  </si>
  <si>
    <t>3488 FOLD1702 PAPER/POLYSTER WOVEN FABRIC 240CM LF506 BLACK OLIVE</t>
  </si>
  <si>
    <t>CS_NO</t>
  </si>
  <si>
    <t>BEZ CHILD SAFETY</t>
  </si>
  <si>
    <t>bez zabezpieczenia</t>
  </si>
  <si>
    <t>CS_YES</t>
  </si>
  <si>
    <t>TAK ZGODNIE Z NORMĄ EN13120</t>
  </si>
  <si>
    <t>T</t>
  </si>
  <si>
    <t>z zabezpieczeniem</t>
  </si>
  <si>
    <t>MOTOR-EFOR</t>
  </si>
  <si>
    <t>MOTOR-EFOR_OPIS</t>
  </si>
  <si>
    <t>M07</t>
  </si>
  <si>
    <t>Coulisse CM-07</t>
  </si>
  <si>
    <t>M70</t>
  </si>
  <si>
    <t>Coulisse CM-07-E</t>
  </si>
  <si>
    <t>M17</t>
  </si>
  <si>
    <t>Somfy Tilt&amp;Lift RTS Central</t>
  </si>
  <si>
    <t>M48</t>
  </si>
  <si>
    <t>Somfy TLW28-WT</t>
  </si>
  <si>
    <t>M06</t>
  </si>
  <si>
    <t>Coulisse CM-06</t>
  </si>
  <si>
    <t>M49</t>
  </si>
  <si>
    <t>Coulisse CM-06-E</t>
  </si>
  <si>
    <t>M09</t>
  </si>
  <si>
    <t>Coulisse CM-09-C</t>
  </si>
  <si>
    <t>M10</t>
  </si>
  <si>
    <t>Coulisse CM-09-MC</t>
  </si>
  <si>
    <t>M11</t>
  </si>
  <si>
    <t>Coulisse CM-09-QC</t>
  </si>
  <si>
    <t>M12</t>
  </si>
  <si>
    <t>Coulisse CM-09-QMC</t>
  </si>
  <si>
    <t>M13</t>
  </si>
  <si>
    <t>Coulisse CM-10-QC</t>
  </si>
  <si>
    <t>M14</t>
  </si>
  <si>
    <t>Coulisse CM-10-QMC</t>
  </si>
  <si>
    <t>M23</t>
  </si>
  <si>
    <t>Somfy Sonesse 40 PA 6/20</t>
  </si>
  <si>
    <t>M24</t>
  </si>
  <si>
    <t>Somfy Sonesse 40 PA 9/12</t>
  </si>
  <si>
    <t>M25</t>
  </si>
  <si>
    <t>Somfy Sonesse 40 RTS 6/20</t>
  </si>
  <si>
    <t>M26</t>
  </si>
  <si>
    <t>Somfy Sonesse 40 RTS 9/12</t>
  </si>
  <si>
    <t>M27</t>
  </si>
  <si>
    <t>Somfy Sonesse 40 io 3/30</t>
  </si>
  <si>
    <t>M28</t>
  </si>
  <si>
    <t>Somfy Sonesse 40 io 6/20</t>
  </si>
  <si>
    <t>M29</t>
  </si>
  <si>
    <t>Somfy Sonesse 40 io 9/12</t>
  </si>
  <si>
    <t>M52</t>
  </si>
  <si>
    <t>Somfy Sonesse2 40 3/30 Zigbee</t>
  </si>
  <si>
    <t>M53</t>
  </si>
  <si>
    <t>Somfy Sonesse2 40 6/20 Zigbee</t>
  </si>
  <si>
    <t>M54</t>
  </si>
  <si>
    <t>Somfy Sonesse2 40 9/12 Zigbee</t>
  </si>
  <si>
    <t>ZASILANIE-EFOR</t>
  </si>
  <si>
    <t>ZASILANIE-EFOR_OPIS</t>
  </si>
  <si>
    <t>&lt;NONE&gt;</t>
  </si>
  <si>
    <t>Bez zasilania</t>
  </si>
  <si>
    <t>P00</t>
  </si>
  <si>
    <t>P01</t>
  </si>
  <si>
    <t>Zasilacz USB-A</t>
  </si>
  <si>
    <t>P06</t>
  </si>
  <si>
    <t>Przewód USB-A do USB-C</t>
  </si>
  <si>
    <t>P03</t>
  </si>
  <si>
    <t>Zasilacz USB-A z przewodem USB-A do USB-C</t>
  </si>
  <si>
    <t>P20</t>
  </si>
  <si>
    <t>Bateria CM-38</t>
  </si>
  <si>
    <t>P23</t>
  </si>
  <si>
    <t>Bateria CM-38 + zasilacz USB-A</t>
  </si>
  <si>
    <t>P24</t>
  </si>
  <si>
    <t>Bateria CM-38 + przewód USB-A do USB-C</t>
  </si>
  <si>
    <t>P25</t>
  </si>
  <si>
    <t>Bateria CM-38 + zasilacz USB-A z przewodem USB-A do USB-C</t>
  </si>
  <si>
    <t>P42</t>
  </si>
  <si>
    <t>Bateria CM-39</t>
  </si>
  <si>
    <t>P45</t>
  </si>
  <si>
    <t>Bateria CM-39 + zasilacz USB-A</t>
  </si>
  <si>
    <t>P46</t>
  </si>
  <si>
    <t>Bateria CM-39 + przewód USB-A do USB-C</t>
  </si>
  <si>
    <t>P47</t>
  </si>
  <si>
    <t>Bateria CM-39 + zasilacz USB-A z przewodem USB-A do USB-C</t>
  </si>
  <si>
    <t>P41</t>
  </si>
  <si>
    <t>Coulisse zasilacz DC 12V (CM-21)</t>
  </si>
  <si>
    <t>P10</t>
  </si>
  <si>
    <t>Somfy zasilacz DC 12V</t>
  </si>
  <si>
    <t>P11</t>
  </si>
  <si>
    <t>Somfy zasilacz DC 24V 1,5A</t>
  </si>
  <si>
    <t>P12</t>
  </si>
  <si>
    <t>Somfy zasilacz DC 24V 2,7A</t>
  </si>
  <si>
    <t>PILOT-EFOR</t>
  </si>
  <si>
    <t>PILOT-EFOR_OPIS</t>
  </si>
  <si>
    <t>R01</t>
  </si>
  <si>
    <t>Coulisse CM-11 (1 kanał)</t>
  </si>
  <si>
    <t>R02</t>
  </si>
  <si>
    <t>Coulisse CM-12 (5 kanałów)</t>
  </si>
  <si>
    <t>R03</t>
  </si>
  <si>
    <t>Coulisse CM-13 (15 kanałów)</t>
  </si>
  <si>
    <t>R04</t>
  </si>
  <si>
    <t>Coulisse CM-16 (4 kanały)</t>
  </si>
  <si>
    <t>R05</t>
  </si>
  <si>
    <t>Coulisse CM-17 (4 kanały)</t>
  </si>
  <si>
    <t>R08</t>
  </si>
  <si>
    <t>Somfy Situo 1 RTS Pure II</t>
  </si>
  <si>
    <t>R09</t>
  </si>
  <si>
    <t>Somfy Situo 5 RTS Pure II</t>
  </si>
  <si>
    <t>R17</t>
  </si>
  <si>
    <t>Somfy Smoove Origin 1 RTS</t>
  </si>
  <si>
    <t>R10</t>
  </si>
  <si>
    <t>Somfy Situo 1 VAR RTS Pure II</t>
  </si>
  <si>
    <t>R11</t>
  </si>
  <si>
    <t>Somfy Situo 5 VAR RTS Pure II</t>
  </si>
  <si>
    <t>AUTOMATYKA-EFOR</t>
  </si>
  <si>
    <t>AUTOMATYKA-EFOR_OPIS</t>
  </si>
  <si>
    <t>A07</t>
  </si>
  <si>
    <t>Coulisse CM-55</t>
  </si>
  <si>
    <t>A02</t>
  </si>
  <si>
    <t>Coulisse CMD-01</t>
  </si>
  <si>
    <t>A04</t>
  </si>
  <si>
    <t>Somfy Tahoma Switch</t>
  </si>
  <si>
    <t>STRONA_STEROWANIA-EFOR</t>
  </si>
  <si>
    <t>STRONA_STEROWANIA-EFOR_OPIS</t>
  </si>
  <si>
    <t>LEWA</t>
  </si>
  <si>
    <t>PRAWA</t>
  </si>
  <si>
    <t>KORALIK_OBSL-EFOR</t>
  </si>
  <si>
    <t>KORALIK_OBSL-EFOR_OPIS</t>
  </si>
  <si>
    <t>biały plasikowy</t>
  </si>
  <si>
    <t>czarny plastikowy</t>
  </si>
  <si>
    <t>M</t>
  </si>
  <si>
    <t>metalowy</t>
  </si>
  <si>
    <t>STER-PROD</t>
  </si>
  <si>
    <t>C-Metal</t>
  </si>
  <si>
    <t>D-Metal</t>
  </si>
  <si>
    <t>STER-PROD_OPIS</t>
  </si>
  <si>
    <t>Lewa</t>
  </si>
  <si>
    <t>Prawa</t>
  </si>
  <si>
    <t>Lewa - Koralik Metalowy</t>
  </si>
  <si>
    <t>Prawa - Koralik Metalowy</t>
  </si>
  <si>
    <t>SYSTEM-EFOR_OPIS</t>
  </si>
  <si>
    <t>SYSTEM-PROD_OPIS</t>
  </si>
  <si>
    <t>A00</t>
  </si>
  <si>
    <t>R00</t>
  </si>
  <si>
    <t>OPIS_CENY</t>
  </si>
  <si>
    <t>OPIS_RABATU</t>
  </si>
  <si>
    <t>department</t>
  </si>
  <si>
    <t>Gdańska 16B</t>
  </si>
  <si>
    <t>Naoknie sp. z o.o.</t>
  </si>
  <si>
    <t>1821ALL</t>
  </si>
  <si>
    <t>biuro@naoknie.pl</t>
  </si>
  <si>
    <t>0048 913000026</t>
  </si>
  <si>
    <t>17.02.2026, 12:17:46</t>
  </si>
  <si>
    <t>PL9552572532</t>
  </si>
  <si>
    <t>NaOkniePL</t>
  </si>
  <si>
    <t>70-661</t>
  </si>
  <si>
    <t>RZYMSKIE</t>
  </si>
  <si>
    <t>DOPLATA_EL DET. [€] brutto</t>
  </si>
  <si>
    <t>ILOŚĆ</t>
  </si>
  <si>
    <t>TKANINA FOLDS</t>
  </si>
  <si>
    <t>CENA DET. [€] brutto=67.01,DOPŁATA DET. [€] brutto=10.77</t>
  </si>
  <si>
    <t>KONFIGURACJA=S_N,SYSTEM=L,TKANINA KLIENTA - KOD/NAZWA=RZW-14 Szary,MODEL TKANINY=C,SZEROKOŚĆ [MM]=1860,WYSOKOŚĆ [MM]=1650,ILOŚĆ SEGMENTÓW=5,OSTATNI SEGMENT DOLNY=C,STEROWANIE=K,KOLOR SYSTEMU=W,STRONA STEROWANIA=R,KORALIK=W,CHILD SAFETY=CS_YES,DŁUGOŚĆ STEROWANIA [MM]=1250</t>
  </si>
  <si>
    <t>MODEL TKANINY</t>
  </si>
  <si>
    <t>K</t>
  </si>
  <si>
    <t>RZW-14 Szary</t>
  </si>
  <si>
    <t>TKANINA KLIENTA - KOD/NAZWA</t>
  </si>
  <si>
    <t>Lux</t>
  </si>
  <si>
    <t>SZEROKOŚĆ [MM]</t>
  </si>
  <si>
    <t>SZEROKOŚĆ SYSTEMU [MM]</t>
  </si>
  <si>
    <t xml:space="preserve">ILE TKANIY POTRZEBNE SZEROKOŚĆ [MM] </t>
  </si>
  <si>
    <t>ILE TKANIY POTRZEBNE WYSOKOSĆ [MM]</t>
  </si>
  <si>
    <t>WYSOKOŚĆ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</si>
</sst>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#,##0\ [$€-1];[Red]\-#,##0\ [$€-1]"/>
    <numFmt numFmtId="168" formatCode="_(* #,##0.00_);_(* \(#,##0.00\);_(* &quot;-&quot;??_);_(@_)"/>
    <numFmt numFmtId="169" formatCode="_(&quot;zł&quot;* #,##0.00_);_(&quot;zł&quot;* \(#,##0.00\);_(&quot;zł&quot;* &quot;-&quot;??_);_(@_)"/>
    <numFmt numFmtId="170" formatCode="#,##0.0\ [$€-1];[Red]\-#,##0.0\ [$€-1]"/>
    <numFmt numFmtId="171" formatCode="#,##0.00\ [$zł-415];[Red]\-#,##0.00\ [$zł-415]"/>
  </numFmts>
  <fonts count="146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1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indexed="52"/>
      <name val="Calibri"/>
      <family val="2"/>
      <charset val="1"/>
    </font>
    <font>
      <b/>
      <sz val="11"/>
      <color indexed="22"/>
      <name val="Calibri"/>
      <family val="2"/>
      <charset val="1"/>
    </font>
    <font>
      <sz val="11"/>
      <color indexed="52"/>
      <name val="Calibri"/>
      <family val="2"/>
      <charset val="1"/>
    </font>
    <font>
      <b/>
      <sz val="15"/>
      <color indexed="54"/>
      <name val="Calibri"/>
      <family val="2"/>
      <charset val="1"/>
    </font>
    <font>
      <b/>
      <sz val="13"/>
      <color indexed="54"/>
      <name val="Calibri"/>
      <family val="2"/>
      <charset val="1"/>
    </font>
    <font>
      <b/>
      <sz val="11"/>
      <color indexed="54"/>
      <name val="Calibri"/>
      <family val="2"/>
      <charset val="1"/>
    </font>
    <font>
      <b/>
      <sz val="15"/>
      <color indexed="54"/>
      <name val="Arial CE"/>
      <family val="2"/>
      <charset val="238"/>
    </font>
    <font>
      <b/>
      <sz val="13"/>
      <color indexed="54"/>
      <name val="Arial CE"/>
      <family val="2"/>
      <charset val="238"/>
    </font>
    <font>
      <b/>
      <sz val="11"/>
      <color indexed="54"/>
      <name val="Arial CE"/>
      <family val="2"/>
      <charset val="238"/>
    </font>
    <font>
      <b/>
      <i/>
      <u/>
      <sz val="11"/>
      <color indexed="63"/>
      <name val="Arial"/>
      <family val="2"/>
      <charset val="238"/>
    </font>
    <font>
      <sz val="18"/>
      <color indexed="54"/>
      <name val="Calibri Light"/>
      <family val="2"/>
      <charset val="1"/>
    </font>
    <font>
      <b/>
      <i/>
      <u/>
      <sz val="10"/>
      <color indexed="8"/>
      <name val="Liberation Sans"/>
      <charset val="238"/>
    </font>
  </fonts>
  <fills count="10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15"/>
        <bgColor indexed="47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22"/>
        <b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</borders>
  <cellStyleXfs count="3619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3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39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5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39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3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39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5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39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3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39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5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39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3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39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5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39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3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39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5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39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3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39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5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39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3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39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5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39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3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39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5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39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3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39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5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39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3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39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5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39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3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39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5" fillId="21" borderId="0" applyNumberFormat="0" applyBorder="0" applyAlignment="0" applyProtection="0"/>
    <xf numFmtId="0" fontId="39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3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39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5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39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0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0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6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0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0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0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6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0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0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0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6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0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0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0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6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0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0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0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6" fillId="27" borderId="0" applyNumberFormat="0" applyBorder="0" applyAlignment="0" applyProtection="0"/>
    <xf numFmtId="0" fontId="100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0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0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6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0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6" fillId="0" borderId="0" applyBorder="0" applyProtection="0"/>
    <xf numFmtId="0" fontId="17" fillId="29" borderId="0" applyBorder="0" applyProtection="0"/>
    <xf numFmtId="0" fontId="17" fillId="29" borderId="0" applyBorder="0" applyProtection="0"/>
    <xf numFmtId="0" fontId="16" fillId="30" borderId="0" applyBorder="0" applyProtection="0"/>
    <xf numFmtId="0" fontId="16" fillId="30" borderId="0" applyBorder="0" applyProtection="0"/>
    <xf numFmtId="0" fontId="14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1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7" borderId="0" applyNumberFormat="0" applyBorder="0" applyAlignment="0" applyProtection="0"/>
    <xf numFmtId="0" fontId="11" fillId="31" borderId="0" applyNumberFormat="0" applyBorder="0" applyAlignment="0" applyProtection="0"/>
    <xf numFmtId="0" fontId="11" fillId="38" borderId="0" applyNumberFormat="0" applyBorder="0" applyAlignment="0" applyProtection="0"/>
    <xf numFmtId="0" fontId="11" fillId="34" borderId="0" applyNumberFormat="0" applyBorder="0" applyAlignment="0" applyProtection="0"/>
    <xf numFmtId="0" fontId="11" fillId="31" borderId="0" applyNumberFormat="0" applyBorder="0" applyAlignment="0" applyProtection="0"/>
    <xf numFmtId="0" fontId="11" fillId="34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8" fillId="31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9" borderId="0" applyNumberFormat="0" applyBorder="0" applyAlignment="0" applyProtection="0"/>
    <xf numFmtId="0" fontId="11" fillId="31" borderId="0" applyNumberFormat="0" applyBorder="0" applyAlignment="0" applyProtection="0"/>
    <xf numFmtId="0" fontId="11" fillId="38" borderId="0" applyNumberFormat="0" applyBorder="0" applyAlignment="0" applyProtection="0"/>
    <xf numFmtId="0" fontId="11" fillId="34" borderId="0" applyNumberFormat="0" applyBorder="0" applyAlignment="0" applyProtection="0"/>
    <xf numFmtId="0" fontId="11" fillId="31" borderId="0" applyNumberFormat="0" applyBorder="0" applyAlignment="0" applyProtection="0"/>
    <xf numFmtId="0" fontId="11" fillId="34" borderId="0" applyNumberFormat="0" applyBorder="0" applyAlignment="0" applyProtection="0"/>
    <xf numFmtId="0" fontId="11" fillId="31" borderId="0" applyNumberFormat="0" applyBorder="0" applyAlignment="0" applyProtection="0"/>
    <xf numFmtId="0" fontId="11" fillId="41" borderId="0" applyNumberFormat="0" applyBorder="0" applyAlignment="0" applyProtection="0"/>
    <xf numFmtId="0" fontId="11" fillId="34" borderId="0" applyNumberFormat="0" applyBorder="0" applyAlignment="0" applyProtection="0"/>
    <xf numFmtId="0" fontId="11" fillId="31" borderId="0" applyNumberFormat="0" applyBorder="0" applyAlignment="0" applyProtection="0"/>
    <xf numFmtId="0" fontId="11" fillId="34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24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1" borderId="0" applyNumberFormat="0" applyBorder="0" applyAlignment="0" applyProtection="0"/>
    <xf numFmtId="0" fontId="11" fillId="34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8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2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42" borderId="0" applyNumberFormat="0" applyBorder="0" applyAlignment="0" applyProtection="0"/>
    <xf numFmtId="0" fontId="11" fillId="31" borderId="0" applyNumberFormat="0" applyBorder="0" applyAlignment="0" applyProtection="0"/>
    <xf numFmtId="0" fontId="11" fillId="43" borderId="0" applyNumberFormat="0" applyBorder="0" applyAlignment="0" applyProtection="0"/>
    <xf numFmtId="0" fontId="11" fillId="34" borderId="0" applyNumberFormat="0" applyBorder="0" applyAlignment="0" applyProtection="0"/>
    <xf numFmtId="0" fontId="11" fillId="31" borderId="0" applyNumberFormat="0" applyBorder="0" applyAlignment="0" applyProtection="0"/>
    <xf numFmtId="0" fontId="11" fillId="34" borderId="0" applyNumberFormat="0" applyBorder="0" applyAlignment="0" applyProtection="0"/>
    <xf numFmtId="0" fontId="11" fillId="31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1" borderId="0" applyNumberFormat="0" applyBorder="0" applyAlignment="0" applyProtection="0"/>
    <xf numFmtId="0" fontId="11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23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4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8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4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4" fillId="45" borderId="0" applyNumberFormat="0" applyBorder="0" applyAlignment="0" applyProtection="0"/>
    <xf numFmtId="0" fontId="14" fillId="34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2" fillId="46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5" fillId="47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6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6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48" borderId="0" applyBorder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3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11" borderId="0" applyNumberFormat="0" applyBorder="0" applyAlignment="0" applyProtection="0"/>
    <xf numFmtId="0" fontId="14" fillId="40" borderId="0" applyNumberFormat="0" applyBorder="0" applyAlignment="0" applyProtection="0"/>
    <xf numFmtId="0" fontId="14" fillId="11" borderId="0" applyNumberFormat="0" applyBorder="0" applyAlignment="0" applyProtection="0"/>
    <xf numFmtId="0" fontId="14" fillId="40" borderId="0" applyNumberFormat="0" applyBorder="0" applyAlignment="0" applyProtection="0"/>
    <xf numFmtId="0" fontId="13" fillId="40" borderId="0" applyNumberFormat="0" applyBorder="0" applyAlignment="0" applyProtection="0"/>
    <xf numFmtId="0" fontId="15" fillId="50" borderId="0" applyBorder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1" borderId="0" applyNumberFormat="0" applyBorder="0" applyAlignment="0" applyProtection="0"/>
    <xf numFmtId="0" fontId="14" fillId="51" borderId="0" applyNumberFormat="0" applyBorder="0" applyAlignment="0" applyProtection="0"/>
    <xf numFmtId="0" fontId="14" fillId="21" borderId="0" applyNumberFormat="0" applyBorder="0" applyAlignment="0" applyProtection="0"/>
    <xf numFmtId="0" fontId="14" fillId="51" borderId="0" applyNumberFormat="0" applyBorder="0" applyAlignment="0" applyProtection="0"/>
    <xf numFmtId="0" fontId="13" fillId="51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3" fillId="46" borderId="0" applyNumberFormat="0" applyBorder="0" applyAlignment="0" applyProtection="0"/>
    <xf numFmtId="0" fontId="12" fillId="23" borderId="0" applyNumberFormat="0" applyBorder="0" applyAlignment="0" applyProtection="0"/>
    <xf numFmtId="0" fontId="12" fillId="46" borderId="0" applyNumberFormat="0" applyBorder="0" applyAlignment="0" applyProtection="0"/>
    <xf numFmtId="0" fontId="12" fillId="49" borderId="0" applyNumberFormat="0" applyBorder="0" applyAlignment="0" applyProtection="0"/>
    <xf numFmtId="0" fontId="12" fillId="20" borderId="0" applyNumberFormat="0" applyBorder="0" applyAlignment="0" applyProtection="0"/>
    <xf numFmtId="0" fontId="12" fillId="36" borderId="0" applyNumberFormat="0" applyBorder="0" applyAlignment="0" applyProtection="0"/>
    <xf numFmtId="0" fontId="12" fillId="24" borderId="0" applyNumberFormat="0" applyBorder="0" applyAlignment="0" applyProtection="0"/>
    <xf numFmtId="0" fontId="19" fillId="4" borderId="1" applyNumberFormat="0" applyAlignment="0" applyProtection="0"/>
    <xf numFmtId="0" fontId="19" fillId="4" borderId="1" applyNumberFormat="0" applyAlignment="0" applyProtection="0"/>
    <xf numFmtId="0" fontId="20" fillId="52" borderId="0" applyNumberFormat="0" applyBorder="0" applyAlignment="0" applyProtection="0"/>
    <xf numFmtId="0" fontId="21" fillId="53" borderId="0" applyNumberFormat="0" applyBorder="0" applyProtection="0"/>
    <xf numFmtId="0" fontId="22" fillId="54" borderId="0" applyBorder="0" applyProtection="0"/>
    <xf numFmtId="0" fontId="21" fillId="8" borderId="0" applyNumberFormat="0" applyBorder="0" applyAlignment="0" applyProtection="0"/>
    <xf numFmtId="0" fontId="20" fillId="52" borderId="0" applyNumberFormat="0" applyBorder="0" applyAlignment="0" applyProtection="0"/>
    <xf numFmtId="0" fontId="23" fillId="4" borderId="2" applyNumberFormat="0" applyAlignment="0" applyProtection="0"/>
    <xf numFmtId="0" fontId="23" fillId="4" borderId="2" applyNumberFormat="0" applyAlignment="0" applyProtection="0"/>
    <xf numFmtId="0" fontId="24" fillId="55" borderId="2" applyNumberFormat="0" applyAlignment="0" applyProtection="0"/>
    <xf numFmtId="0" fontId="23" fillId="10" borderId="2" applyNumberFormat="0" applyAlignment="0" applyProtection="0"/>
    <xf numFmtId="0" fontId="90" fillId="55" borderId="2" applyNumberFormat="0" applyAlignment="0" applyProtection="0"/>
    <xf numFmtId="0" fontId="25" fillId="39" borderId="3" applyNumberFormat="0" applyAlignment="0" applyProtection="0"/>
    <xf numFmtId="0" fontId="26" fillId="49" borderId="3" applyNumberFormat="0" applyAlignment="0" applyProtection="0"/>
    <xf numFmtId="0" fontId="26" fillId="39" borderId="3" applyNumberFormat="0" applyAlignment="0" applyProtection="0"/>
    <xf numFmtId="0" fontId="27" fillId="56" borderId="4" applyProtection="0"/>
    <xf numFmtId="0" fontId="27" fillId="56" borderId="4" applyProtection="0"/>
    <xf numFmtId="0" fontId="28" fillId="3" borderId="2" applyNumberFormat="0" applyAlignment="0" applyProtection="0"/>
    <xf numFmtId="0" fontId="28" fillId="3" borderId="2" applyNumberFormat="0" applyAlignment="0" applyProtection="0"/>
    <xf numFmtId="0" fontId="102" fillId="3" borderId="2" applyNumberFormat="0" applyAlignment="0" applyProtection="0"/>
    <xf numFmtId="0" fontId="28" fillId="18" borderId="2" applyNumberFormat="0" applyAlignment="0" applyProtection="0"/>
    <xf numFmtId="0" fontId="28" fillId="3" borderId="2" applyNumberFormat="0" applyAlignment="0" applyProtection="0"/>
    <xf numFmtId="0" fontId="28" fillId="3" borderId="2" applyNumberFormat="0" applyAlignment="0" applyProtection="0"/>
    <xf numFmtId="0" fontId="28" fillId="18" borderId="2" applyNumberFormat="0" applyAlignment="0" applyProtection="0"/>
    <xf numFmtId="0" fontId="102" fillId="18" borderId="2" applyNumberFormat="0" applyAlignment="0" applyProtection="0"/>
    <xf numFmtId="0" fontId="30" fillId="57" borderId="5" applyProtection="0"/>
    <xf numFmtId="0" fontId="30" fillId="57" borderId="5" applyProtection="0"/>
    <xf numFmtId="0" fontId="31" fillId="10" borderId="1" applyNumberFormat="0" applyAlignment="0" applyProtection="0"/>
    <xf numFmtId="0" fontId="31" fillId="10" borderId="1" applyNumberFormat="0" applyAlignment="0" applyProtection="0"/>
    <xf numFmtId="0" fontId="103" fillId="10" borderId="1" applyNumberFormat="0" applyAlignment="0" applyProtection="0"/>
    <xf numFmtId="0" fontId="31" fillId="4" borderId="1" applyNumberFormat="0" applyAlignment="0" applyProtection="0"/>
    <xf numFmtId="0" fontId="31" fillId="4" borderId="1" applyNumberFormat="0" applyAlignment="0" applyProtection="0"/>
    <xf numFmtId="0" fontId="31" fillId="4" borderId="1" applyNumberFormat="0" applyAlignment="0" applyProtection="0"/>
    <xf numFmtId="0" fontId="103" fillId="4" borderId="1" applyNumberFormat="0" applyAlignment="0" applyProtection="0"/>
    <xf numFmtId="0" fontId="32" fillId="7" borderId="0" applyNumberFormat="0" applyBorder="0" applyAlignment="0" applyProtection="0"/>
    <xf numFmtId="0" fontId="33" fillId="7" borderId="0" applyNumberFormat="0" applyBorder="0" applyAlignment="0" applyProtection="0"/>
    <xf numFmtId="0" fontId="32" fillId="7" borderId="0" applyNumberFormat="0" applyBorder="0" applyAlignment="0" applyProtection="0"/>
    <xf numFmtId="0" fontId="104" fillId="7" borderId="0" applyNumberFormat="0" applyBorder="0" applyAlignment="0" applyProtection="0"/>
    <xf numFmtId="0" fontId="34" fillId="7" borderId="0" applyNumberFormat="0" applyBorder="0" applyAlignment="0" applyProtection="0"/>
    <xf numFmtId="0" fontId="32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29" fillId="3" borderId="2" applyNumberFormat="0" applyAlignment="0" applyProtection="0"/>
    <xf numFmtId="0" fontId="29" fillId="3" borderId="2" applyNumberFormat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6" fillId="58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6" fillId="59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0" borderId="6" applyNumberFormat="0" applyFill="0" applyAlignment="0" applyProtection="0"/>
    <xf numFmtId="0" fontId="36" fillId="0" borderId="6" applyNumberFormat="0" applyFill="0" applyAlignment="0" applyProtection="0"/>
    <xf numFmtId="0" fontId="2" fillId="0" borderId="6" applyNumberFormat="0" applyFill="0" applyAlignment="0" applyProtection="0"/>
    <xf numFmtId="0" fontId="37" fillId="0" borderId="0" applyNumberFormat="0" applyFill="0" applyBorder="0" applyAlignment="0" applyProtection="0"/>
    <xf numFmtId="0" fontId="38" fillId="61" borderId="0" applyBorder="0" applyProtection="0"/>
    <xf numFmtId="0" fontId="38" fillId="61" borderId="0" applyBorder="0" applyProtection="0"/>
    <xf numFmtId="164" fontId="39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0" fillId="0" borderId="0"/>
    <xf numFmtId="0" fontId="9" fillId="0" borderId="0"/>
    <xf numFmtId="0" fontId="41" fillId="0" borderId="0"/>
    <xf numFmtId="0" fontId="40" fillId="0" borderId="0"/>
    <xf numFmtId="0" fontId="8" fillId="0" borderId="0"/>
    <xf numFmtId="0" fontId="4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2" fillId="0" borderId="0" applyBorder="0" applyProtection="0"/>
    <xf numFmtId="0" fontId="42" fillId="0" borderId="0" applyBorder="0" applyProtection="0"/>
    <xf numFmtId="0" fontId="33" fillId="41" borderId="0" applyNumberFormat="0" applyBorder="0" applyAlignment="0" applyProtection="0"/>
    <xf numFmtId="0" fontId="34" fillId="62" borderId="0" applyNumberFormat="0" applyBorder="0" applyProtection="0"/>
    <xf numFmtId="0" fontId="34" fillId="7" borderId="0" applyNumberFormat="0" applyBorder="0" applyAlignment="0" applyProtection="0"/>
    <xf numFmtId="0" fontId="43" fillId="63" borderId="0" applyBorder="0" applyProtection="0"/>
    <xf numFmtId="0" fontId="33" fillId="41" borderId="0" applyNumberFormat="0" applyBorder="0" applyAlignment="0" applyProtection="0"/>
    <xf numFmtId="0" fontId="34" fillId="7" borderId="0" applyNumberFormat="0" applyBorder="0" applyAlignment="0" applyProtection="0"/>
    <xf numFmtId="0" fontId="44" fillId="0" borderId="0" applyBorder="0" applyProtection="0"/>
    <xf numFmtId="0" fontId="45" fillId="0" borderId="7" applyNumberFormat="0" applyFill="0" applyAlignment="0" applyProtection="0"/>
    <xf numFmtId="0" fontId="46" fillId="0" borderId="0" applyBorder="0" applyProtection="0"/>
    <xf numFmtId="0" fontId="45" fillId="0" borderId="7" applyNumberFormat="0" applyFill="0" applyAlignment="0" applyProtection="0"/>
    <xf numFmtId="0" fontId="45" fillId="0" borderId="7" applyNumberFormat="0" applyFill="0" applyAlignment="0" applyProtection="0"/>
    <xf numFmtId="0" fontId="47" fillId="0" borderId="8" applyNumberFormat="0" applyFill="0" applyAlignment="0" applyProtection="0"/>
    <xf numFmtId="0" fontId="48" fillId="0" borderId="8" applyNumberFormat="0" applyFill="0" applyProtection="0"/>
    <xf numFmtId="0" fontId="49" fillId="0" borderId="0" applyBorder="0" applyProtection="0"/>
    <xf numFmtId="0" fontId="47" fillId="0" borderId="8" applyNumberFormat="0" applyFill="0" applyAlignment="0" applyProtection="0"/>
    <xf numFmtId="0" fontId="50" fillId="0" borderId="9" applyNumberFormat="0" applyFill="0" applyAlignment="0" applyProtection="0"/>
    <xf numFmtId="0" fontId="50" fillId="0" borderId="9" applyNumberFormat="0" applyFill="0" applyAlignment="0" applyProtection="0"/>
    <xf numFmtId="0" fontId="91" fillId="0" borderId="9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51" fillId="0" borderId="0">
      <alignment horizontal="center" textRotation="90"/>
    </xf>
    <xf numFmtId="0" fontId="52" fillId="0" borderId="0" applyBorder="0" applyProtection="0"/>
    <xf numFmtId="0" fontId="52" fillId="0" borderId="0" applyBorder="0" applyProtection="0"/>
    <xf numFmtId="0" fontId="28" fillId="45" borderId="2" applyNumberFormat="0" applyAlignment="0" applyProtection="0"/>
    <xf numFmtId="0" fontId="28" fillId="34" borderId="2" applyNumberFormat="0" applyAlignment="0" applyProtection="0"/>
    <xf numFmtId="0" fontId="28" fillId="34" borderId="2" applyNumberFormat="0" applyAlignment="0" applyProtection="0"/>
    <xf numFmtId="0" fontId="28" fillId="31" borderId="2" applyNumberFormat="0" applyAlignment="0" applyProtection="0"/>
    <xf numFmtId="0" fontId="28" fillId="45" borderId="2" applyNumberFormat="0" applyAlignment="0" applyProtection="0"/>
    <xf numFmtId="0" fontId="28" fillId="45" borderId="2" applyNumberFormat="0" applyAlignment="0" applyProtection="0"/>
    <xf numFmtId="0" fontId="29" fillId="3" borderId="2" applyNumberFormat="0" applyAlignment="0" applyProtection="0"/>
    <xf numFmtId="0" fontId="28" fillId="34" borderId="2" applyNumberFormat="0" applyAlignment="0" applyProtection="0"/>
    <xf numFmtId="0" fontId="53" fillId="3" borderId="2" applyNumberFormat="0" applyAlignment="0" applyProtection="0"/>
    <xf numFmtId="0" fontId="53" fillId="3" borderId="2" applyNumberFormat="0" applyAlignment="0" applyProtection="0"/>
    <xf numFmtId="0" fontId="54" fillId="0" borderId="1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66" fillId="0" borderId="11" applyNumberFormat="0" applyFill="0" applyAlignment="0" applyProtection="0"/>
    <xf numFmtId="0" fontId="92" fillId="0" borderId="11" applyNumberFormat="0" applyFill="0" applyAlignment="0" applyProtection="0"/>
    <xf numFmtId="0" fontId="92" fillId="0" borderId="11" applyNumberFormat="0" applyFill="0" applyAlignment="0" applyProtection="0"/>
    <xf numFmtId="0" fontId="92" fillId="0" borderId="11" applyNumberFormat="0" applyFill="0" applyAlignment="0" applyProtection="0"/>
    <xf numFmtId="0" fontId="66" fillId="0" borderId="11" applyNumberFormat="0" applyFill="0" applyAlignment="0" applyProtection="0"/>
    <xf numFmtId="0" fontId="26" fillId="49" borderId="3" applyNumberFormat="0" applyAlignment="0" applyProtection="0"/>
    <xf numFmtId="0" fontId="26" fillId="49" borderId="3" applyNumberFormat="0" applyAlignment="0" applyProtection="0"/>
    <xf numFmtId="0" fontId="105" fillId="49" borderId="3" applyNumberFormat="0" applyAlignment="0" applyProtection="0"/>
    <xf numFmtId="0" fontId="25" fillId="49" borderId="3" applyNumberFormat="0" applyAlignment="0" applyProtection="0"/>
    <xf numFmtId="0" fontId="25" fillId="49" borderId="3" applyNumberFormat="0" applyAlignment="0" applyProtection="0"/>
    <xf numFmtId="0" fontId="25" fillId="49" borderId="3" applyNumberFormat="0" applyAlignment="0" applyProtection="0"/>
    <xf numFmtId="0" fontId="105" fillId="49" borderId="3" applyNumberFormat="0" applyAlignment="0" applyProtection="0"/>
    <xf numFmtId="0" fontId="56" fillId="0" borderId="11" applyNumberFormat="0" applyFill="0" applyAlignment="0" applyProtection="0"/>
    <xf numFmtId="0" fontId="55" fillId="0" borderId="11" applyNumberFormat="0" applyFill="0" applyAlignment="0" applyProtection="0"/>
    <xf numFmtId="0" fontId="93" fillId="0" borderId="11" applyNumberFormat="0" applyFill="0" applyAlignment="0" applyProtection="0"/>
    <xf numFmtId="0" fontId="57" fillId="0" borderId="7" applyProtection="0"/>
    <xf numFmtId="0" fontId="58" fillId="0" borderId="12" applyProtection="0"/>
    <xf numFmtId="0" fontId="59" fillId="0" borderId="13" applyProtection="0"/>
    <xf numFmtId="0" fontId="59" fillId="0" borderId="13" applyProtection="0"/>
    <xf numFmtId="0" fontId="59" fillId="0" borderId="0" applyBorder="0" applyProtection="0"/>
    <xf numFmtId="0" fontId="60" fillId="0" borderId="15" applyProtection="0"/>
    <xf numFmtId="0" fontId="61" fillId="0" borderId="16" applyNumberFormat="0" applyFill="0" applyAlignment="0" applyProtection="0"/>
    <xf numFmtId="0" fontId="61" fillId="0" borderId="16" applyNumberFormat="0" applyFill="0" applyAlignment="0" applyProtection="0"/>
    <xf numFmtId="0" fontId="106" fillId="0" borderId="14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107" fillId="0" borderId="14" applyNumberFormat="0" applyFill="0" applyAlignment="0" applyProtection="0"/>
    <xf numFmtId="0" fontId="45" fillId="0" borderId="16" applyNumberFormat="0" applyFill="0" applyAlignment="0" applyProtection="0"/>
    <xf numFmtId="0" fontId="108" fillId="0" borderId="16" applyNumberFormat="0" applyFill="0" applyAlignment="0" applyProtection="0"/>
    <xf numFmtId="0" fontId="62" fillId="0" borderId="12" applyProtection="0"/>
    <xf numFmtId="0" fontId="63" fillId="0" borderId="17" applyNumberFormat="0" applyFill="0" applyAlignment="0" applyProtection="0"/>
    <xf numFmtId="0" fontId="63" fillId="0" borderId="17" applyNumberFormat="0" applyFill="0" applyAlignment="0" applyProtection="0"/>
    <xf numFmtId="0" fontId="109" fillId="0" borderId="8" applyNumberFormat="0" applyFill="0" applyAlignment="0" applyProtection="0"/>
    <xf numFmtId="0" fontId="47" fillId="0" borderId="8" applyNumberFormat="0" applyFill="0" applyAlignment="0" applyProtection="0"/>
    <xf numFmtId="0" fontId="47" fillId="0" borderId="8" applyNumberFormat="0" applyFill="0" applyAlignment="0" applyProtection="0"/>
    <xf numFmtId="0" fontId="110" fillId="0" borderId="8" applyNumberFormat="0" applyFill="0" applyAlignment="0" applyProtection="0"/>
    <xf numFmtId="0" fontId="47" fillId="0" borderId="8" applyNumberFormat="0" applyFill="0" applyAlignment="0" applyProtection="0"/>
    <xf numFmtId="0" fontId="111" fillId="0" borderId="8" applyNumberFormat="0" applyFill="0" applyAlignment="0" applyProtection="0"/>
    <xf numFmtId="0" fontId="64" fillId="0" borderId="9" applyNumberFormat="0" applyFill="0" applyAlignment="0" applyProtection="0"/>
    <xf numFmtId="0" fontId="64" fillId="0" borderId="9" applyNumberFormat="0" applyFill="0" applyAlignment="0" applyProtection="0"/>
    <xf numFmtId="0" fontId="112" fillId="0" borderId="19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113" fillId="0" borderId="19" applyNumberFormat="0" applyFill="0" applyAlignment="0" applyProtection="0"/>
    <xf numFmtId="0" fontId="50" fillId="0" borderId="18" applyNumberFormat="0" applyFill="0" applyAlignment="0" applyProtection="0"/>
    <xf numFmtId="0" fontId="114" fillId="0" borderId="18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65" fillId="45" borderId="0" applyNumberFormat="0" applyBorder="0" applyAlignment="0" applyProtection="0"/>
    <xf numFmtId="0" fontId="66" fillId="64" borderId="0" applyBorder="0" applyProtection="0"/>
    <xf numFmtId="0" fontId="66" fillId="64" borderId="0" applyBorder="0" applyProtection="0"/>
    <xf numFmtId="0" fontId="67" fillId="65" borderId="0" applyNumberFormat="0" applyBorder="0" applyProtection="0"/>
    <xf numFmtId="0" fontId="67" fillId="18" borderId="0" applyNumberFormat="0" applyBorder="0" applyAlignment="0" applyProtection="0"/>
    <xf numFmtId="0" fontId="68" fillId="66" borderId="0" applyBorder="0" applyProtection="0"/>
    <xf numFmtId="0" fontId="65" fillId="45" borderId="0" applyNumberFormat="0" applyBorder="0" applyAlignment="0" applyProtection="0"/>
    <xf numFmtId="0" fontId="69" fillId="18" borderId="0" applyNumberFormat="0" applyBorder="0" applyAlignment="0" applyProtection="0"/>
    <xf numFmtId="0" fontId="65" fillId="18" borderId="0" applyNumberFormat="0" applyBorder="0" applyAlignment="0" applyProtection="0"/>
    <xf numFmtId="0" fontId="69" fillId="18" borderId="0" applyNumberFormat="0" applyBorder="0" applyAlignment="0" applyProtection="0"/>
    <xf numFmtId="0" fontId="115" fillId="18" borderId="0" applyNumberFormat="0" applyBorder="0" applyAlignment="0" applyProtection="0"/>
    <xf numFmtId="0" fontId="67" fillId="18" borderId="0" applyNumberFormat="0" applyBorder="0" applyAlignment="0" applyProtection="0"/>
    <xf numFmtId="0" fontId="69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39" fillId="0" borderId="0"/>
    <xf numFmtId="0" fontId="39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29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29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0" fillId="0" borderId="0"/>
    <xf numFmtId="0" fontId="7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29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1" fillId="0" borderId="0"/>
    <xf numFmtId="0" fontId="7" fillId="0" borderId="0"/>
    <xf numFmtId="0" fontId="41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29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0" fillId="0" borderId="0"/>
    <xf numFmtId="0" fontId="11" fillId="0" borderId="0"/>
    <xf numFmtId="0" fontId="8" fillId="0" borderId="0"/>
    <xf numFmtId="0" fontId="11" fillId="0" borderId="0"/>
    <xf numFmtId="0" fontId="130" fillId="0" borderId="0"/>
    <xf numFmtId="0" fontId="4" fillId="0" borderId="0"/>
    <xf numFmtId="0" fontId="7" fillId="0" borderId="0"/>
    <xf numFmtId="0" fontId="7" fillId="38" borderId="20" applyNumberFormat="0" applyFont="0" applyAlignment="0" applyProtection="0"/>
    <xf numFmtId="0" fontId="10" fillId="67" borderId="20" applyNumberFormat="0" applyProtection="0"/>
    <xf numFmtId="0" fontId="10" fillId="67" borderId="20" applyNumberFormat="0" applyProtection="0"/>
    <xf numFmtId="0" fontId="7" fillId="38" borderId="20" applyNumberFormat="0" applyFont="0" applyAlignment="0" applyProtection="0"/>
    <xf numFmtId="0" fontId="7" fillId="38" borderId="20" applyNumberFormat="0" applyFont="0" applyAlignment="0" applyProtection="0"/>
    <xf numFmtId="0" fontId="7" fillId="38" borderId="20" applyNumberFormat="0" applyFont="0" applyAlignment="0" applyProtection="0"/>
    <xf numFmtId="0" fontId="7" fillId="38" borderId="20" applyNumberFormat="0" applyFont="0" applyAlignment="0" applyProtection="0"/>
    <xf numFmtId="0" fontId="7" fillId="38" borderId="20" applyNumberFormat="0" applyFont="0" applyAlignment="0" applyProtection="0"/>
    <xf numFmtId="0" fontId="7" fillId="38" borderId="20" applyNumberFormat="0" applyFont="0" applyAlignment="0" applyProtection="0"/>
    <xf numFmtId="0" fontId="71" fillId="66" borderId="4" applyProtection="0"/>
    <xf numFmtId="0" fontId="71" fillId="66" borderId="4" applyProtection="0"/>
    <xf numFmtId="0" fontId="7" fillId="38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3" fillId="10" borderId="2" applyNumberFormat="0" applyAlignment="0" applyProtection="0"/>
    <xf numFmtId="0" fontId="23" fillId="10" borderId="2" applyNumberFormat="0" applyAlignment="0" applyProtection="0"/>
    <xf numFmtId="0" fontId="116" fillId="10" borderId="2" applyNumberFormat="0" applyAlignment="0" applyProtection="0"/>
    <xf numFmtId="0" fontId="94" fillId="4" borderId="2" applyNumberFormat="0" applyAlignment="0" applyProtection="0"/>
    <xf numFmtId="0" fontId="94" fillId="4" borderId="2" applyNumberFormat="0" applyAlignment="0" applyProtection="0"/>
    <xf numFmtId="0" fontId="94" fillId="10" borderId="2" applyNumberFormat="0" applyAlignment="0" applyProtection="0"/>
    <xf numFmtId="0" fontId="94" fillId="4" borderId="2" applyNumberFormat="0" applyAlignment="0" applyProtection="0"/>
    <xf numFmtId="0" fontId="116" fillId="4" borderId="2" applyNumberFormat="0" applyAlignment="0" applyProtection="0"/>
    <xf numFmtId="0" fontId="31" fillId="55" borderId="1" applyNumberFormat="0" applyAlignment="0" applyProtection="0"/>
    <xf numFmtId="0" fontId="19" fillId="10" borderId="1" applyNumberFormat="0" applyAlignment="0" applyProtection="0"/>
    <xf numFmtId="0" fontId="19" fillId="55" borderId="1" applyNumberFormat="0" applyAlignment="0" applyProtection="0"/>
    <xf numFmtId="9" fontId="72" fillId="0" borderId="0" applyFont="0" applyFill="0" applyBorder="0" applyAlignment="0" applyProtection="0"/>
    <xf numFmtId="0" fontId="18" fillId="0" borderId="0" applyNumberFormat="0" applyFont="0" applyBorder="0" applyProtection="0">
      <alignment horizontal="left"/>
    </xf>
    <xf numFmtId="0" fontId="101" fillId="0" borderId="0" applyNumberFormat="0" applyFont="0" applyBorder="0" applyProtection="0">
      <alignment horizontal="left"/>
    </xf>
    <xf numFmtId="0" fontId="117" fillId="0" borderId="0" applyNumberFormat="0" applyFont="0" applyBorder="0" applyProtection="0">
      <alignment horizontal="left"/>
    </xf>
    <xf numFmtId="0" fontId="117" fillId="0" borderId="0" applyNumberFormat="0" applyFont="0" applyBorder="0" applyProtection="0">
      <alignment horizontal="left"/>
    </xf>
    <xf numFmtId="0" fontId="101" fillId="0" borderId="0" applyNumberFormat="0" applyFont="0" applyBorder="0" applyProtection="0">
      <alignment horizontal="left"/>
    </xf>
    <xf numFmtId="0" fontId="18" fillId="0" borderId="0" applyNumberFormat="0" applyFont="0" applyBorder="0" applyProtection="0"/>
    <xf numFmtId="0" fontId="101" fillId="0" borderId="0" applyNumberFormat="0" applyFont="0" applyBorder="0" applyProtection="0"/>
    <xf numFmtId="0" fontId="117" fillId="0" borderId="0" applyNumberFormat="0" applyFont="0" applyBorder="0" applyProtection="0"/>
    <xf numFmtId="0" fontId="117" fillId="0" borderId="0" applyNumberFormat="0" applyFont="0" applyBorder="0" applyProtection="0"/>
    <xf numFmtId="0" fontId="101" fillId="0" borderId="0" applyNumberFormat="0" applyFont="0" applyBorder="0" applyProtection="0"/>
    <xf numFmtId="0" fontId="18" fillId="0" borderId="0" applyNumberFormat="0" applyFont="0" applyBorder="0" applyProtection="0"/>
    <xf numFmtId="0" fontId="101" fillId="0" borderId="0" applyNumberFormat="0" applyFont="0" applyBorder="0" applyProtection="0"/>
    <xf numFmtId="0" fontId="117" fillId="0" borderId="0" applyNumberFormat="0" applyFont="0" applyBorder="0" applyProtection="0"/>
    <xf numFmtId="0" fontId="117" fillId="0" borderId="0" applyNumberFormat="0" applyFont="0" applyBorder="0" applyProtection="0"/>
    <xf numFmtId="0" fontId="101" fillId="0" borderId="0" applyNumberFormat="0" applyFont="0" applyBorder="0" applyProtection="0"/>
    <xf numFmtId="0" fontId="73" fillId="0" borderId="0" applyNumberFormat="0" applyBorder="0" applyProtection="0"/>
    <xf numFmtId="0" fontId="118" fillId="0" borderId="0" applyNumberFormat="0" applyBorder="0" applyProtection="0"/>
    <xf numFmtId="0" fontId="119" fillId="0" borderId="0" applyNumberFormat="0" applyBorder="0" applyProtection="0"/>
    <xf numFmtId="0" fontId="119" fillId="0" borderId="0" applyNumberFormat="0" applyBorder="0" applyProtection="0"/>
    <xf numFmtId="0" fontId="118" fillId="0" borderId="0" applyNumberFormat="0" applyBorder="0" applyProtection="0"/>
    <xf numFmtId="0" fontId="118" fillId="0" borderId="0" applyNumberFormat="0" applyBorder="0" applyProtection="0"/>
    <xf numFmtId="0" fontId="73" fillId="0" borderId="0" applyNumberFormat="0" applyBorder="0" applyProtection="0">
      <alignment horizontal="left"/>
    </xf>
    <xf numFmtId="0" fontId="118" fillId="0" borderId="0" applyNumberFormat="0" applyBorder="0" applyProtection="0">
      <alignment horizontal="left"/>
    </xf>
    <xf numFmtId="0" fontId="119" fillId="0" borderId="0" applyNumberFormat="0" applyBorder="0" applyProtection="0">
      <alignment horizontal="left"/>
    </xf>
    <xf numFmtId="0" fontId="119" fillId="0" borderId="0" applyNumberFormat="0" applyBorder="0" applyProtection="0">
      <alignment horizontal="left"/>
    </xf>
    <xf numFmtId="0" fontId="118" fillId="0" borderId="0" applyNumberFormat="0" applyBorder="0" applyProtection="0">
      <alignment horizontal="left"/>
    </xf>
    <xf numFmtId="0" fontId="118" fillId="0" borderId="0" applyNumberFormat="0" applyBorder="0" applyProtection="0">
      <alignment horizontal="left"/>
    </xf>
    <xf numFmtId="0" fontId="18" fillId="0" borderId="0" applyNumberFormat="0" applyFont="0" applyBorder="0" applyProtection="0"/>
    <xf numFmtId="0" fontId="101" fillId="0" borderId="0" applyNumberFormat="0" applyFont="0" applyBorder="0" applyProtection="0"/>
    <xf numFmtId="0" fontId="117" fillId="0" borderId="0" applyNumberFormat="0" applyFont="0" applyBorder="0" applyProtection="0"/>
    <xf numFmtId="0" fontId="117" fillId="0" borderId="0" applyNumberFormat="0" applyFont="0" applyBorder="0" applyProtection="0"/>
    <xf numFmtId="0" fontId="101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4" fillId="0" borderId="0"/>
    <xf numFmtId="166" fontId="74" fillId="0" borderId="0"/>
    <xf numFmtId="0" fontId="21" fillId="8" borderId="0" applyNumberFormat="0" applyBorder="0" applyAlignment="0" applyProtection="0"/>
    <xf numFmtId="0" fontId="75" fillId="0" borderId="0" applyNumberFormat="0" applyFill="0" applyBorder="0" applyAlignment="0" applyProtection="0"/>
    <xf numFmtId="0" fontId="39" fillId="0" borderId="0"/>
    <xf numFmtId="0" fontId="72" fillId="0" borderId="0"/>
    <xf numFmtId="0" fontId="72" fillId="0" borderId="0"/>
    <xf numFmtId="0" fontId="120" fillId="0" borderId="0"/>
    <xf numFmtId="0" fontId="39" fillId="0" borderId="0" applyNumberFormat="0" applyFont="0" applyBorder="0" applyProtection="0"/>
    <xf numFmtId="0" fontId="39" fillId="0" borderId="0" applyNumberFormat="0" applyFont="0" applyBorder="0" applyProtection="0"/>
    <xf numFmtId="0" fontId="39" fillId="0" borderId="0"/>
    <xf numFmtId="0" fontId="72" fillId="0" borderId="0"/>
    <xf numFmtId="0" fontId="39" fillId="0" borderId="0"/>
    <xf numFmtId="0" fontId="76" fillId="0" borderId="0"/>
    <xf numFmtId="0" fontId="39" fillId="0" borderId="0"/>
    <xf numFmtId="0" fontId="39" fillId="0" borderId="0"/>
    <xf numFmtId="0" fontId="6" fillId="0" borderId="0"/>
    <xf numFmtId="0" fontId="7" fillId="0" borderId="0"/>
    <xf numFmtId="0" fontId="39" fillId="0" borderId="0"/>
    <xf numFmtId="0" fontId="71" fillId="0" borderId="0" applyBorder="0" applyProtection="0"/>
    <xf numFmtId="0" fontId="71" fillId="0" borderId="0" applyBorder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121" fillId="0" borderId="21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121" fillId="0" borderId="6" applyNumberFormat="0" applyFill="0" applyAlignment="0" applyProtection="0"/>
    <xf numFmtId="0" fontId="39" fillId="0" borderId="0"/>
    <xf numFmtId="0" fontId="77" fillId="0" borderId="0" applyBorder="0" applyProtection="0"/>
    <xf numFmtId="0" fontId="8" fillId="0" borderId="0"/>
    <xf numFmtId="0" fontId="8" fillId="0" borderId="0"/>
    <xf numFmtId="0" fontId="122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3" fillId="0" borderId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9" fillId="0" borderId="0" applyBorder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71" fillId="0" borderId="0" applyBorder="0" applyProtection="0"/>
    <xf numFmtId="0" fontId="71" fillId="0" borderId="0" applyBorder="0" applyProtection="0"/>
    <xf numFmtId="0" fontId="80" fillId="0" borderId="0" applyNumberFormat="0" applyFill="0" applyBorder="0" applyAlignment="0" applyProtection="0"/>
    <xf numFmtId="0" fontId="81" fillId="0" borderId="6" applyNumberFormat="0" applyFill="0" applyAlignment="0" applyProtection="0"/>
    <xf numFmtId="0" fontId="81" fillId="0" borderId="6" applyNumberFormat="0" applyFill="0" applyAlignment="0" applyProtection="0"/>
    <xf numFmtId="0" fontId="35" fillId="0" borderId="22" applyNumberFormat="0" applyFill="0" applyAlignment="0" applyProtection="0"/>
    <xf numFmtId="0" fontId="36" fillId="0" borderId="21" applyNumberFormat="0" applyFill="0" applyAlignment="0" applyProtection="0"/>
    <xf numFmtId="0" fontId="36" fillId="0" borderId="22" applyNumberFormat="0" applyFill="0" applyAlignment="0" applyProtection="0"/>
    <xf numFmtId="0" fontId="82" fillId="0" borderId="0" applyBorder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61" fillId="0" borderId="16" applyNumberFormat="0" applyFill="0" applyAlignment="0" applyProtection="0"/>
    <xf numFmtId="0" fontId="63" fillId="0" borderId="17" applyNumberFormat="0" applyFill="0" applyAlignment="0" applyProtection="0"/>
    <xf numFmtId="0" fontId="64" fillId="0" borderId="9" applyNumberFormat="0" applyFill="0" applyAlignment="0" applyProtection="0"/>
    <xf numFmtId="0" fontId="64" fillId="0" borderId="9" applyNumberFormat="0" applyFill="0" applyAlignment="0" applyProtection="0"/>
    <xf numFmtId="0" fontId="6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10" borderId="1" applyNumberFormat="0" applyAlignment="0" applyProtection="0"/>
    <xf numFmtId="0" fontId="84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5" fillId="0" borderId="0" applyNumberFormat="0" applyFill="0" applyBorder="0" applyAlignment="0" applyProtection="0"/>
    <xf numFmtId="0" fontId="55" fillId="0" borderId="11" applyNumberFormat="0" applyFill="0" applyAlignment="0" applyProtection="0"/>
    <xf numFmtId="0" fontId="86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2" fillId="0" borderId="0" applyBorder="0" applyProtection="0"/>
    <xf numFmtId="0" fontId="22" fillId="0" borderId="0" applyBorder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68" borderId="0" applyBorder="0" applyProtection="0"/>
    <xf numFmtId="0" fontId="26" fillId="49" borderId="3" applyNumberFormat="0" applyAlignment="0" applyProtection="0"/>
    <xf numFmtId="0" fontId="88" fillId="8" borderId="0" applyNumberFormat="0" applyBorder="0" applyAlignment="0" applyProtection="0"/>
    <xf numFmtId="0" fontId="89" fillId="8" borderId="0" applyNumberFormat="0" applyBorder="0" applyAlignment="0" applyProtection="0"/>
    <xf numFmtId="0" fontId="88" fillId="8" borderId="0" applyNumberFormat="0" applyBorder="0" applyAlignment="0" applyProtection="0"/>
    <xf numFmtId="0" fontId="124" fillId="8" borderId="0" applyNumberFormat="0" applyBorder="0" applyAlignment="0" applyProtection="0"/>
    <xf numFmtId="0" fontId="21" fillId="8" borderId="0" applyNumberFormat="0" applyBorder="0" applyAlignment="0" applyProtection="0"/>
    <xf numFmtId="0" fontId="88" fillId="8" borderId="0" applyNumberFormat="0" applyBorder="0" applyAlignment="0" applyProtection="0"/>
    <xf numFmtId="0" fontId="89" fillId="8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4" fillId="0" borderId="0"/>
    <xf numFmtId="0" fontId="129" fillId="0" borderId="0"/>
    <xf numFmtId="0" fontId="129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4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41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4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29" fillId="0" borderId="0"/>
    <xf numFmtId="0" fontId="129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8" borderId="0" applyNumberFormat="0" applyBorder="0" applyAlignment="0" applyProtection="0"/>
    <xf numFmtId="44" fontId="3" fillId="0" borderId="0" applyFont="0" applyFill="0" applyBorder="0" applyAlignment="0" applyProtection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43" fontId="3" fillId="0" borderId="0" applyFont="0" applyFill="0" applyBorder="0" applyAlignment="0" applyProtection="0"/>
    <xf numFmtId="0" fontId="129" fillId="0" borderId="0"/>
    <xf numFmtId="0" fontId="129" fillId="0" borderId="0"/>
    <xf numFmtId="0" fontId="129" fillId="0" borderId="0"/>
    <xf numFmtId="0" fontId="129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29" fillId="0" borderId="0"/>
    <xf numFmtId="0" fontId="129" fillId="0" borderId="0"/>
    <xf numFmtId="44" fontId="3" fillId="0" borderId="0" applyFont="0" applyFill="0" applyBorder="0" applyAlignment="0" applyProtection="0"/>
    <xf numFmtId="0" fontId="129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29" fillId="0" borderId="0"/>
    <xf numFmtId="0" fontId="129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4" fillId="7" borderId="0" applyNumberFormat="0" applyBorder="0" applyAlignment="0" applyProtection="0"/>
    <xf numFmtId="43" fontId="3" fillId="0" borderId="0" applyFont="0" applyFill="0" applyBorder="0" applyAlignment="0" applyProtection="0"/>
    <xf numFmtId="0" fontId="67" fillId="18" borderId="0" applyNumberFormat="0" applyBorder="0" applyAlignment="0" applyProtection="0"/>
    <xf numFmtId="0" fontId="21" fillId="8" borderId="0" applyNumberFormat="0" applyBorder="0" applyAlignment="0" applyProtection="0"/>
    <xf numFmtId="0" fontId="129" fillId="0" borderId="0"/>
    <xf numFmtId="0" fontId="129" fillId="0" borderId="0"/>
    <xf numFmtId="43" fontId="3" fillId="0" borderId="0" applyFont="0" applyFill="0" applyBorder="0" applyAlignment="0" applyProtection="0"/>
    <xf numFmtId="0" fontId="18" fillId="0" borderId="0" applyNumberFormat="0" applyFont="0" applyBorder="0" applyProtection="0">
      <alignment horizontal="left"/>
    </xf>
    <xf numFmtId="0" fontId="18" fillId="0" borderId="0" applyNumberFormat="0" applyFont="0" applyBorder="0" applyProtection="0"/>
    <xf numFmtId="0" fontId="18" fillId="0" borderId="0" applyNumberFormat="0" applyFont="0" applyBorder="0" applyProtection="0"/>
    <xf numFmtId="0" fontId="73" fillId="0" borderId="0" applyNumberFormat="0" applyBorder="0" applyProtection="0"/>
    <xf numFmtId="0" fontId="73" fillId="0" borderId="0" applyNumberFormat="0" applyBorder="0" applyProtection="0">
      <alignment horizontal="left"/>
    </xf>
    <xf numFmtId="0" fontId="18" fillId="0" borderId="0" applyNumberFormat="0" applyFont="0" applyBorder="0" applyProtection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43" fontId="3" fillId="0" borderId="0" applyFont="0" applyFill="0" applyBorder="0" applyAlignment="0" applyProtection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6" fillId="0" borderId="0"/>
    <xf numFmtId="0" fontId="129" fillId="0" borderId="0"/>
    <xf numFmtId="43" fontId="129" fillId="0" borderId="0" applyFont="0" applyFill="0" applyBorder="0" applyAlignment="0" applyProtection="0"/>
    <xf numFmtId="0" fontId="129" fillId="0" borderId="0"/>
    <xf numFmtId="0" fontId="129" fillId="0" borderId="0"/>
    <xf numFmtId="0" fontId="129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9" fillId="0" borderId="0"/>
    <xf numFmtId="0" fontId="129" fillId="0" borderId="0"/>
    <xf numFmtId="43" fontId="3" fillId="0" borderId="0" applyFont="0" applyFill="0" applyBorder="0" applyAlignment="0" applyProtection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43" fontId="3" fillId="0" borderId="0" applyFont="0" applyFill="0" applyBorder="0" applyAlignment="0" applyProtection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29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3" fillId="7" borderId="0" applyNumberFormat="0" applyBorder="0" applyAlignment="0" applyProtection="0"/>
    <xf numFmtId="0" fontId="65" fillId="18" borderId="0" applyNumberFormat="0" applyBorder="0" applyAlignment="0" applyProtection="0"/>
    <xf numFmtId="0" fontId="89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2" borderId="0" applyNumberFormat="0" applyBorder="0" applyAlignment="0" applyProtection="0"/>
    <xf numFmtId="0" fontId="3" fillId="2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3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39" fillId="8" borderId="0" applyNumberFormat="0" applyBorder="0" applyAlignment="0" applyProtection="0"/>
    <xf numFmtId="0" fontId="3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3" fillId="4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39" fillId="7" borderId="0" applyNumberFormat="0" applyBorder="0" applyAlignment="0" applyProtection="0"/>
    <xf numFmtId="0" fontId="3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39" fillId="9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39" fillId="2" borderId="0" applyNumberFormat="0" applyBorder="0" applyAlignment="0" applyProtection="0"/>
    <xf numFmtId="0" fontId="39" fillId="2" borderId="0" applyNumberFormat="0" applyBorder="0" applyAlignment="0" applyProtection="0"/>
    <xf numFmtId="0" fontId="39" fillId="6" borderId="0" applyNumberFormat="0" applyBorder="0" applyAlignment="0" applyProtection="0"/>
    <xf numFmtId="0" fontId="3" fillId="6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39" fillId="3" borderId="0" applyNumberFormat="0" applyBorder="0" applyAlignment="0" applyProtection="0"/>
    <xf numFmtId="0" fontId="3" fillId="7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3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39" fillId="12" borderId="0" applyNumberFormat="0" applyBorder="0" applyAlignment="0" applyProtection="0"/>
    <xf numFmtId="0" fontId="3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9" borderId="0" applyNumberFormat="0" applyBorder="0" applyAlignment="0" applyProtection="0"/>
    <xf numFmtId="0" fontId="3" fillId="10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39" fillId="19" borderId="0" applyNumberFormat="0" applyBorder="0" applyAlignment="0" applyProtection="0"/>
    <xf numFmtId="0" fontId="3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3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3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20" borderId="0" applyNumberFormat="0" applyBorder="0" applyAlignment="0" applyProtection="0"/>
    <xf numFmtId="0" fontId="39" fillId="20" borderId="0" applyNumberFormat="0" applyBorder="0" applyAlignment="0" applyProtection="0"/>
    <xf numFmtId="0" fontId="3" fillId="18" borderId="0" applyNumberFormat="0" applyBorder="0" applyAlignment="0" applyProtection="0"/>
    <xf numFmtId="0" fontId="1" fillId="18" borderId="0" applyNumberFormat="0" applyBorder="0" applyAlignment="0" applyProtection="0"/>
    <xf numFmtId="0" fontId="14" fillId="25" borderId="0" applyNumberFormat="0" applyBorder="0" applyAlignment="0" applyProtection="0"/>
    <xf numFmtId="0" fontId="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00" fillId="25" borderId="0" applyNumberFormat="0" applyBorder="0" applyAlignment="0" applyProtection="0"/>
    <xf numFmtId="0" fontId="12" fillId="17" borderId="0" applyNumberFormat="0" applyBorder="0" applyAlignment="0" applyProtection="0"/>
    <xf numFmtId="0" fontId="1" fillId="23" borderId="0" applyNumberFormat="0" applyBorder="0" applyAlignment="0" applyProtection="0"/>
    <xf numFmtId="0" fontId="14" fillId="12" borderId="0" applyNumberFormat="0" applyBorder="0" applyAlignment="0" applyProtection="0"/>
    <xf numFmtId="0" fontId="3" fillId="3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00" fillId="12" borderId="0" applyNumberFormat="0" applyBorder="0" applyAlignment="0" applyProtection="0"/>
    <xf numFmtId="0" fontId="12" fillId="3" borderId="0" applyNumberFormat="0" applyBorder="0" applyAlignment="0" applyProtection="0"/>
    <xf numFmtId="0" fontId="1" fillId="3" borderId="0" applyNumberFormat="0" applyBorder="0" applyAlignment="0" applyProtection="0"/>
    <xf numFmtId="0" fontId="14" fillId="19" borderId="0" applyNumberFormat="0" applyBorder="0" applyAlignment="0" applyProtection="0"/>
    <xf numFmtId="0" fontId="3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00" fillId="19" borderId="0" applyNumberFormat="0" applyBorder="0" applyAlignment="0" applyProtection="0"/>
    <xf numFmtId="0" fontId="12" fillId="10" borderId="0" applyNumberFormat="0" applyBorder="0" applyAlignment="0" applyProtection="0"/>
    <xf numFmtId="0" fontId="1" fillId="10" borderId="0" applyNumberFormat="0" applyBorder="0" applyAlignment="0" applyProtection="0"/>
    <xf numFmtId="0" fontId="14" fillId="21" borderId="0" applyNumberFormat="0" applyBorder="0" applyAlignment="0" applyProtection="0"/>
    <xf numFmtId="0" fontId="3" fillId="18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00" fillId="21" borderId="0" applyNumberFormat="0" applyBorder="0" applyAlignment="0" applyProtection="0"/>
    <xf numFmtId="0" fontId="12" fillId="18" borderId="0" applyNumberFormat="0" applyBorder="0" applyAlignment="0" applyProtection="0"/>
    <xf numFmtId="0" fontId="1" fillId="18" borderId="0" applyNumberFormat="0" applyBorder="0" applyAlignment="0" applyProtection="0"/>
    <xf numFmtId="0" fontId="14" fillId="23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13" fillId="23" borderId="0" applyNumberFormat="0" applyBorder="0" applyAlignment="0" applyProtection="0"/>
    <xf numFmtId="0" fontId="100" fillId="23" borderId="0" applyNumberFormat="0" applyBorder="0" applyAlignment="0" applyProtection="0"/>
    <xf numFmtId="0" fontId="12" fillId="23" borderId="0" applyNumberFormat="0" applyBorder="0" applyAlignment="0" applyProtection="0"/>
    <xf numFmtId="0" fontId="1" fillId="17" borderId="0" applyNumberFormat="0" applyBorder="0" applyAlignment="0" applyProtection="0"/>
    <xf numFmtId="0" fontId="14" fillId="26" borderId="0" applyNumberFormat="0" applyBorder="0" applyAlignment="0" applyProtection="0"/>
    <xf numFmtId="0" fontId="3" fillId="24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00" fillId="26" borderId="0" applyNumberFormat="0" applyBorder="0" applyAlignment="0" applyProtection="0"/>
    <xf numFmtId="0" fontId="12" fillId="24" borderId="0" applyNumberFormat="0" applyBorder="0" applyAlignment="0" applyProtection="0"/>
    <xf numFmtId="0" fontId="1" fillId="24" borderId="0" applyNumberFormat="0" applyBorder="0" applyAlignment="0" applyProtection="0"/>
    <xf numFmtId="0" fontId="17" fillId="28" borderId="0" applyBorder="0" applyProtection="0"/>
    <xf numFmtId="0" fontId="17" fillId="29" borderId="0" applyBorder="0" applyProtection="0"/>
    <xf numFmtId="0" fontId="16" fillId="30" borderId="0" applyBorder="0" applyProtection="0"/>
    <xf numFmtId="0" fontId="16" fillId="0" borderId="0" applyBorder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4" borderId="0" applyNumberFormat="0" applyBorder="0" applyAlignment="0" applyProtection="0"/>
    <xf numFmtId="0" fontId="1" fillId="41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43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2" fillId="36" borderId="0" applyNumberFormat="0" applyBorder="0" applyAlignment="0" applyProtection="0"/>
    <xf numFmtId="0" fontId="14" fillId="36" borderId="0" applyNumberFormat="0" applyBorder="0" applyAlignment="0" applyProtection="0"/>
    <xf numFmtId="0" fontId="12" fillId="46" borderId="0" applyNumberFormat="0" applyBorder="0" applyAlignment="0" applyProtection="0"/>
    <xf numFmtId="0" fontId="14" fillId="46" borderId="0" applyNumberFormat="0" applyBorder="0" applyAlignment="0" applyProtection="0"/>
    <xf numFmtId="0" fontId="12" fillId="49" borderId="0" applyNumberFormat="0" applyBorder="0" applyAlignment="0" applyProtection="0"/>
    <xf numFmtId="0" fontId="14" fillId="49" borderId="0" applyNumberFormat="0" applyBorder="0" applyAlignment="0" applyProtection="0"/>
    <xf numFmtId="0" fontId="12" fillId="20" borderId="0" applyNumberFormat="0" applyBorder="0" applyAlignment="0" applyProtection="0"/>
    <xf numFmtId="0" fontId="14" fillId="20" borderId="0" applyNumberFormat="0" applyBorder="0" applyAlignment="0" applyProtection="0"/>
    <xf numFmtId="0" fontId="12" fillId="23" borderId="0" applyNumberFormat="0" applyBorder="0" applyAlignment="0" applyProtection="0"/>
    <xf numFmtId="0" fontId="14" fillId="23" borderId="0" applyNumberFormat="0" applyBorder="0" applyAlignment="0" applyProtection="0"/>
    <xf numFmtId="0" fontId="12" fillId="24" borderId="0" applyNumberFormat="0" applyBorder="0" applyAlignment="0" applyProtection="0"/>
    <xf numFmtId="0" fontId="14" fillId="24" borderId="0" applyNumberFormat="0" applyBorder="0" applyAlignment="0" applyProtection="0"/>
    <xf numFmtId="0" fontId="134" fillId="79" borderId="2" applyProtection="0"/>
    <xf numFmtId="0" fontId="135" fillId="80" borderId="3" applyProtection="0"/>
    <xf numFmtId="0" fontId="29" fillId="3" borderId="2" applyNumberFormat="0" applyAlignment="0" applyProtection="0"/>
    <xf numFmtId="0" fontId="28" fillId="3" borderId="2" applyNumberFormat="0" applyAlignment="0" applyProtection="0"/>
    <xf numFmtId="0" fontId="19" fillId="10" borderId="1" applyNumberFormat="0" applyAlignment="0" applyProtection="0"/>
    <xf numFmtId="0" fontId="31" fillId="10" borderId="1" applyNumberFormat="0" applyAlignment="0" applyProtection="0"/>
    <xf numFmtId="0" fontId="38" fillId="61" borderId="0" applyBorder="0" applyProtection="0"/>
    <xf numFmtId="0" fontId="3" fillId="0" borderId="0"/>
    <xf numFmtId="0" fontId="42" fillId="0" borderId="0" applyBorder="0" applyProtection="0"/>
    <xf numFmtId="0" fontId="136" fillId="0" borderId="11" applyProtection="0"/>
    <xf numFmtId="0" fontId="51" fillId="0" borderId="0">
      <alignment horizontal="center"/>
    </xf>
    <xf numFmtId="0" fontId="55" fillId="0" borderId="11" applyNumberFormat="0" applyFill="0" applyAlignment="0" applyProtection="0"/>
    <xf numFmtId="0" fontId="92" fillId="0" borderId="11" applyNumberFormat="0" applyFill="0" applyAlignment="0" applyProtection="0"/>
    <xf numFmtId="0" fontId="26" fillId="49" borderId="3" applyNumberFormat="0" applyAlignment="0" applyProtection="0"/>
    <xf numFmtId="0" fontId="25" fillId="49" borderId="3" applyNumberFormat="0" applyAlignment="0" applyProtection="0"/>
    <xf numFmtId="0" fontId="137" fillId="0" borderId="16" applyProtection="0"/>
    <xf numFmtId="0" fontId="138" fillId="0" borderId="17" applyProtection="0"/>
    <xf numFmtId="0" fontId="139" fillId="0" borderId="9" applyProtection="0"/>
    <xf numFmtId="0" fontId="139" fillId="0" borderId="0" applyBorder="0" applyProtection="0"/>
    <xf numFmtId="0" fontId="61" fillId="0" borderId="14" applyNumberFormat="0" applyFill="0" applyAlignment="0" applyProtection="0"/>
    <xf numFmtId="0" fontId="140" fillId="0" borderId="14" applyNumberFormat="0" applyFill="0" applyAlignment="0" applyProtection="0"/>
    <xf numFmtId="0" fontId="63" fillId="0" borderId="17" applyNumberFormat="0" applyFill="0" applyAlignment="0" applyProtection="0"/>
    <xf numFmtId="0" fontId="141" fillId="0" borderId="17" applyNumberFormat="0" applyFill="0" applyAlignment="0" applyProtection="0"/>
    <xf numFmtId="0" fontId="64" fillId="0" borderId="18" applyNumberFormat="0" applyFill="0" applyAlignment="0" applyProtection="0"/>
    <xf numFmtId="0" fontId="142" fillId="0" borderId="18" applyNumberFormat="0" applyFill="0" applyAlignment="0" applyProtection="0"/>
    <xf numFmtId="0" fontId="64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7" fillId="0" borderId="0"/>
    <xf numFmtId="0" fontId="7" fillId="38" borderId="20" applyNumberFormat="0" applyFont="0" applyAlignment="0" applyProtection="0"/>
    <xf numFmtId="0" fontId="7" fillId="67" borderId="20" applyProtection="0"/>
    <xf numFmtId="0" fontId="23" fillId="10" borderId="2" applyNumberFormat="0" applyAlignment="0" applyProtection="0"/>
    <xf numFmtId="0" fontId="94" fillId="10" borderId="2" applyNumberFormat="0" applyAlignment="0" applyProtection="0"/>
    <xf numFmtId="0" fontId="143" fillId="0" borderId="0"/>
    <xf numFmtId="0" fontId="39" fillId="0" borderId="0"/>
    <xf numFmtId="0" fontId="71" fillId="0" borderId="0" applyBorder="0" applyProtection="0"/>
    <xf numFmtId="0" fontId="2" fillId="0" borderId="21" applyNumberFormat="0" applyFill="0" applyAlignment="0" applyProtection="0"/>
    <xf numFmtId="0" fontId="35" fillId="0" borderId="21" applyNumberFormat="0" applyFill="0" applyAlignment="0" applyProtection="0"/>
    <xf numFmtId="0" fontId="37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1" fillId="0" borderId="0" applyBorder="0" applyProtection="0"/>
    <xf numFmtId="0" fontId="144" fillId="0" borderId="0" applyBorder="0" applyProtection="0"/>
    <xf numFmtId="0" fontId="83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" fillId="5" borderId="20" applyNumberFormat="0" applyFont="0" applyAlignment="0" applyProtection="0"/>
    <xf numFmtId="0" fontId="70" fillId="5" borderId="20" applyNumberFormat="0" applyFont="0" applyAlignment="0" applyProtection="0"/>
    <xf numFmtId="0" fontId="22" fillId="0" borderId="0" applyBorder="0" applyProtection="0"/>
    <xf numFmtId="171" fontId="143" fillId="0" borderId="0"/>
    <xf numFmtId="0" fontId="9" fillId="81" borderId="0" applyNumberFormat="0" applyBorder="0" applyAlignment="0" applyProtection="0"/>
    <xf numFmtId="0" fontId="3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83" borderId="0" applyNumberFormat="0" applyBorder="0" applyProtection="0"/>
    <xf numFmtId="0" fontId="3" fillId="8" borderId="0" applyNumberFormat="0" applyBorder="0" applyAlignment="0" applyProtection="0"/>
    <xf numFmtId="0" fontId="9" fillId="84" borderId="0" applyNumberFormat="0" applyBorder="0" applyAlignment="0" applyProtection="0"/>
    <xf numFmtId="0" fontId="3" fillId="53" borderId="0" applyNumberFormat="0" applyBorder="0" applyProtection="0"/>
    <xf numFmtId="0" fontId="3" fillId="7" borderId="0" applyNumberFormat="0" applyBorder="0" applyAlignment="0" applyProtection="0"/>
    <xf numFmtId="0" fontId="9" fillId="67" borderId="0" applyNumberFormat="0" applyBorder="0" applyAlignment="0" applyProtection="0"/>
    <xf numFmtId="0" fontId="3" fillId="62" borderId="0" applyNumberFormat="0" applyBorder="0" applyProtection="0"/>
    <xf numFmtId="0" fontId="3" fillId="9" borderId="0" applyNumberFormat="0" applyBorder="0" applyAlignment="0" applyProtection="0"/>
    <xf numFmtId="0" fontId="9" fillId="85" borderId="0" applyNumberFormat="0" applyBorder="0" applyAlignment="0" applyProtection="0"/>
    <xf numFmtId="0" fontId="3" fillId="86" borderId="0" applyNumberFormat="0" applyBorder="0" applyProtection="0"/>
    <xf numFmtId="0" fontId="9" fillId="87" borderId="0" applyNumberFormat="0" applyBorder="0" applyAlignment="0" applyProtection="0"/>
    <xf numFmtId="0" fontId="3" fillId="2" borderId="0" applyNumberFormat="0" applyBorder="0" applyAlignment="0" applyProtection="0"/>
    <xf numFmtId="0" fontId="9" fillId="82" borderId="0" applyNumberFormat="0" applyBorder="0" applyAlignment="0" applyProtection="0"/>
    <xf numFmtId="0" fontId="3" fillId="88" borderId="0" applyNumberFormat="0" applyBorder="0" applyProtection="0"/>
    <xf numFmtId="0" fontId="3" fillId="3" borderId="0" applyNumberFormat="0" applyBorder="0" applyAlignment="0" applyProtection="0"/>
    <xf numFmtId="0" fontId="9" fillId="84" borderId="0" applyNumberFormat="0" applyBorder="0" applyAlignment="0" applyProtection="0"/>
    <xf numFmtId="0" fontId="3" fillId="89" borderId="0" applyNumberFormat="0" applyBorder="0" applyProtection="0"/>
    <xf numFmtId="0" fontId="9" fillId="69" borderId="0" applyNumberFormat="0" applyBorder="0" applyAlignment="0" applyProtection="0"/>
    <xf numFmtId="0" fontId="3" fillId="17" borderId="0" applyNumberFormat="0" applyBorder="0" applyAlignment="0" applyProtection="0"/>
    <xf numFmtId="0" fontId="9" fillId="82" borderId="0" applyNumberFormat="0" applyBorder="0" applyAlignment="0" applyProtection="0"/>
    <xf numFmtId="0" fontId="3" fillId="90" borderId="0" applyNumberFormat="0" applyBorder="0" applyProtection="0"/>
    <xf numFmtId="0" fontId="3" fillId="12" borderId="0" applyNumberFormat="0" applyBorder="0" applyAlignment="0" applyProtection="0"/>
    <xf numFmtId="0" fontId="9" fillId="91" borderId="0" applyNumberFormat="0" applyBorder="0" applyAlignment="0" applyProtection="0"/>
    <xf numFmtId="0" fontId="3" fillId="91" borderId="0" applyNumberFormat="0" applyBorder="0" applyProtection="0"/>
    <xf numFmtId="0" fontId="3" fillId="19" borderId="0" applyNumberFormat="0" applyBorder="0" applyAlignment="0" applyProtection="0"/>
    <xf numFmtId="0" fontId="9" fillId="65" borderId="0" applyNumberFormat="0" applyBorder="0" applyAlignment="0" applyProtection="0"/>
    <xf numFmtId="0" fontId="3" fillId="92" borderId="0" applyNumberFormat="0" applyBorder="0" applyProtection="0"/>
    <xf numFmtId="0" fontId="3" fillId="9" borderId="0" applyNumberFormat="0" applyBorder="0" applyAlignment="0" applyProtection="0"/>
    <xf numFmtId="0" fontId="9" fillId="82" borderId="0" applyNumberFormat="0" applyBorder="0" applyAlignment="0" applyProtection="0"/>
    <xf numFmtId="0" fontId="3" fillId="86" borderId="0" applyNumberFormat="0" applyBorder="0" applyProtection="0"/>
    <xf numFmtId="0" fontId="9" fillId="69" borderId="0" applyNumberFormat="0" applyBorder="0" applyAlignment="0" applyProtection="0"/>
    <xf numFmtId="0" fontId="3" fillId="17" borderId="0" applyNumberFormat="0" applyBorder="0" applyAlignment="0" applyProtection="0"/>
    <xf numFmtId="0" fontId="9" fillId="82" borderId="0" applyNumberFormat="0" applyBorder="0" applyAlignment="0" applyProtection="0"/>
    <xf numFmtId="0" fontId="3" fillId="90" borderId="0" applyNumberFormat="0" applyBorder="0" applyProtection="0"/>
    <xf numFmtId="0" fontId="3" fillId="20" borderId="0" applyNumberFormat="0" applyBorder="0" applyAlignment="0" applyProtection="0"/>
    <xf numFmtId="0" fontId="9" fillId="84" borderId="0" applyNumberFormat="0" applyBorder="0" applyAlignment="0" applyProtection="0"/>
    <xf numFmtId="0" fontId="3" fillId="93" borderId="0" applyNumberFormat="0" applyBorder="0" applyProtection="0"/>
    <xf numFmtId="0" fontId="3" fillId="25" borderId="0" applyNumberFormat="0" applyBorder="0" applyAlignment="0" applyProtection="0"/>
    <xf numFmtId="0" fontId="13" fillId="82" borderId="0" applyNumberFormat="0" applyBorder="0" applyAlignment="0" applyProtection="0"/>
    <xf numFmtId="0" fontId="12" fillId="94" borderId="0" applyNumberFormat="0" applyBorder="0" applyProtection="0"/>
    <xf numFmtId="0" fontId="3" fillId="12" borderId="0" applyNumberFormat="0" applyBorder="0" applyAlignment="0" applyProtection="0"/>
    <xf numFmtId="0" fontId="13" fillId="91" borderId="0" applyNumberFormat="0" applyBorder="0" applyAlignment="0" applyProtection="0"/>
    <xf numFmtId="0" fontId="12" fillId="91" borderId="0" applyNumberFormat="0" applyBorder="0" applyProtection="0"/>
    <xf numFmtId="0" fontId="3" fillId="19" borderId="0" applyNumberFormat="0" applyBorder="0" applyAlignment="0" applyProtection="0"/>
    <xf numFmtId="0" fontId="13" fillId="95" borderId="0" applyNumberFormat="0" applyBorder="0" applyAlignment="0" applyProtection="0"/>
    <xf numFmtId="0" fontId="12" fillId="92" borderId="0" applyNumberFormat="0" applyBorder="0" applyProtection="0"/>
    <xf numFmtId="0" fontId="3" fillId="21" borderId="0" applyNumberFormat="0" applyBorder="0" applyAlignment="0" applyProtection="0"/>
    <xf numFmtId="0" fontId="13" fillId="82" borderId="0" applyNumberFormat="0" applyBorder="0" applyAlignment="0" applyProtection="0"/>
    <xf numFmtId="0" fontId="12" fillId="96" borderId="0" applyNumberFormat="0" applyBorder="0" applyProtection="0"/>
    <xf numFmtId="0" fontId="3" fillId="23" borderId="0" applyNumberFormat="0" applyBorder="0" applyAlignment="0" applyProtection="0"/>
    <xf numFmtId="0" fontId="13" fillId="82" borderId="0" applyNumberFormat="0" applyBorder="0" applyAlignment="0" applyProtection="0"/>
    <xf numFmtId="0" fontId="12" fillId="78" borderId="0" applyNumberFormat="0" applyBorder="0" applyProtection="0"/>
    <xf numFmtId="0" fontId="3" fillId="26" borderId="0" applyNumberFormat="0" applyBorder="0" applyAlignment="0" applyProtection="0"/>
    <xf numFmtId="0" fontId="13" fillId="84" borderId="0" applyNumberFormat="0" applyBorder="0" applyAlignment="0" applyProtection="0"/>
    <xf numFmtId="0" fontId="12" fillId="97" borderId="0" applyNumberFormat="0" applyBorder="0" applyProtection="0"/>
    <xf numFmtId="0" fontId="145" fillId="0" borderId="0" applyNumberFormat="0" applyBorder="0" applyProtection="0"/>
    <xf numFmtId="0" fontId="3" fillId="0" borderId="0"/>
  </cellStyleXfs>
  <cellXfs count="76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5" xfId="0" applyBorder="1"/>
    <xf numFmtId="0" fontId="0" fillId="0" borderId="27" xfId="0" applyBorder="1"/>
    <xf numFmtId="167" fontId="0" fillId="0" borderId="23" xfId="0" applyNumberFormat="1" applyBorder="1"/>
    <xf numFmtId="0" fontId="98" fillId="71" borderId="33" xfId="0" applyFont="1" applyFill="1" applyBorder="1"/>
    <xf numFmtId="0" fontId="128" fillId="0" borderId="25" xfId="1785" applyFont="1" applyBorder="1"/>
    <xf numFmtId="14" fontId="0" fillId="0" borderId="25" xfId="0" applyNumberFormat="1" applyBorder="1"/>
    <xf numFmtId="9" fontId="0" fillId="0" borderId="25" xfId="0" applyNumberFormat="1" applyBorder="1"/>
    <xf numFmtId="0" fontId="98" fillId="72" borderId="34" xfId="0" applyFont="1" applyFill="1" applyBorder="1"/>
    <xf numFmtId="0" fontId="0" fillId="0" borderId="35" xfId="0" applyBorder="1"/>
    <xf numFmtId="0" fontId="0" fillId="0" borderId="37" xfId="0" applyBorder="1" applyAlignment="1">
      <alignment horizontal="center" vertical="center"/>
    </xf>
    <xf numFmtId="0" fontId="0" fillId="70" borderId="31" xfId="0" applyFill="1" applyBorder="1"/>
    <xf numFmtId="0" fontId="0" fillId="69" borderId="31" xfId="0" applyFill="1" applyBorder="1"/>
    <xf numFmtId="0" fontId="0" fillId="74" borderId="38" xfId="0" applyFill="1" applyBorder="1"/>
    <xf numFmtId="0" fontId="97" fillId="0" borderId="39" xfId="0" applyFont="1" applyBorder="1"/>
    <xf numFmtId="0" fontId="2" fillId="73" borderId="36" xfId="0" applyFont="1" applyFill="1" applyBorder="1"/>
    <xf numFmtId="0" fontId="131" fillId="75" borderId="36" xfId="0" applyFont="1" applyFill="1" applyBorder="1"/>
    <xf numFmtId="0" fontId="131" fillId="75" borderId="33" xfId="0" applyFont="1" applyFill="1" applyBorder="1"/>
    <xf numFmtId="0" fontId="131" fillId="76" borderId="31" xfId="0" applyFont="1" applyFill="1" applyBorder="1"/>
    <xf numFmtId="49" fontId="0" fillId="0" borderId="0" xfId="0" applyNumberFormat="1"/>
    <xf numFmtId="170" fontId="0" fillId="0" borderId="23" xfId="0" applyNumberFormat="1" applyBorder="1"/>
    <xf numFmtId="0" fontId="133" fillId="0" borderId="37" xfId="0" applyFont="1" applyBorder="1" applyAlignment="1">
      <alignment horizontal="center" vertical="center"/>
    </xf>
    <xf numFmtId="0" fontId="132" fillId="0" borderId="37" xfId="0" applyFont="1" applyBorder="1" applyAlignment="1">
      <alignment horizontal="center" vertical="center"/>
    </xf>
    <xf numFmtId="0" fontId="99" fillId="0" borderId="37" xfId="0" applyFont="1" applyBorder="1" applyAlignment="1">
      <alignment horizontal="center" vertical="center"/>
    </xf>
    <xf numFmtId="0" fontId="7" fillId="0" borderId="37" xfId="2074" applyBorder="1" applyAlignment="1">
      <alignment horizontal="center" vertical="center"/>
    </xf>
    <xf numFmtId="0" fontId="0" fillId="77" borderId="25" xfId="0" applyFill="1" applyBorder="1"/>
    <xf numFmtId="0" fontId="0" fillId="77" borderId="41" xfId="0" applyFill="1" applyBorder="1"/>
    <xf numFmtId="0" fontId="0" fillId="0" borderId="41" xfId="0" applyBorder="1"/>
    <xf numFmtId="0" fontId="0" fillId="77" borderId="27" xfId="0" applyFill="1" applyBorder="1"/>
    <xf numFmtId="0" fontId="0" fillId="77" borderId="29" xfId="0" applyFill="1" applyBorder="1"/>
    <xf numFmtId="49" fontId="0" fillId="0" borderId="25" xfId="0" applyNumberFormat="1" applyBorder="1"/>
    <xf numFmtId="0" fontId="133" fillId="98" borderId="23" xfId="0" applyFont="1" applyFill="1" applyBorder="1" applyAlignment="1">
      <alignment horizontal="center"/>
    </xf>
    <xf numFmtId="0" fontId="133" fillId="98" borderId="23" xfId="0" applyFont="1" applyFill="1" applyBorder="1" applyAlignment="1">
      <alignment horizontal="center" wrapText="1"/>
    </xf>
    <xf numFmtId="49" fontId="133" fillId="98" borderId="23" xfId="0" applyNumberFormat="1" applyFont="1" applyFill="1" applyBorder="1" applyAlignment="1">
      <alignment horizontal="center" wrapText="1"/>
    </xf>
    <xf numFmtId="49" fontId="133" fillId="98" borderId="23" xfId="0" applyNumberFormat="1" applyFont="1" applyFill="1" applyBorder="1" applyAlignment="1">
      <alignment horizontal="center" vertical="center" wrapText="1"/>
    </xf>
    <xf numFmtId="0" fontId="133" fillId="98" borderId="23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32" fillId="0" borderId="46" xfId="0" applyFont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7" fillId="0" borderId="23" xfId="3537" applyBorder="1" applyAlignment="1">
      <alignment horizontal="center" vertical="center"/>
    </xf>
    <xf numFmtId="0" fontId="132" fillId="0" borderId="45" xfId="0" applyFont="1" applyBorder="1" applyAlignment="1">
      <alignment horizontal="center" vertical="center"/>
    </xf>
    <xf numFmtId="0" fontId="133" fillId="0" borderId="4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43" xfId="2074" applyBorder="1" applyAlignment="1">
      <alignment horizontal="center" vertical="center"/>
    </xf>
    <xf numFmtId="0" fontId="133" fillId="0" borderId="23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0" fillId="99" borderId="23" xfId="0" applyFill="1" applyBorder="1"/>
    <xf numFmtId="0" fontId="133" fillId="99" borderId="23" xfId="0" applyFont="1" applyFill="1" applyBorder="1" applyAlignment="1">
      <alignment horizontal="center" vertical="center"/>
    </xf>
    <xf numFmtId="0" fontId="0" fillId="99" borderId="23" xfId="0" applyFill="1" applyBorder="1" applyAlignment="1">
      <alignment horizontal="center" vertical="center"/>
    </xf>
    <xf numFmtId="0" fontId="2" fillId="99" borderId="23" xfId="0" applyFont="1" applyFill="1" applyBorder="1" applyAlignment="1">
      <alignment horizontal="center" vertical="center"/>
    </xf>
    <xf numFmtId="0" fontId="3" fillId="0" borderId="23" xfId="3618" applyBorder="1"/>
    <xf numFmtId="0" fontId="131" fillId="76" borderId="30" xfId="0" applyNumberFormat="1" applyFont="1" applyFill="1" applyBorder="1"/>
    <xf numFmtId="0" fontId="0" fillId="0" borderId="24" xfId="0" applyNumberFormat="1" applyBorder="1"/>
    <xf numFmtId="0" fontId="0" fillId="0" borderId="0" xfId="0" applyNumberFormat="1"/>
    <xf numFmtId="0" fontId="2" fillId="70" borderId="30" xfId="0" applyNumberFormat="1" applyFont="1" applyFill="1" applyBorder="1"/>
    <xf numFmtId="0" fontId="0" fillId="77" borderId="28" xfId="0" applyNumberFormat="1" applyFill="1" applyBorder="1"/>
    <xf numFmtId="0" fontId="0" fillId="77" borderId="24" xfId="0" applyNumberFormat="1" applyFill="1" applyBorder="1"/>
    <xf numFmtId="0" fontId="0" fillId="77" borderId="40" xfId="0" applyNumberFormat="1" applyFill="1" applyBorder="1"/>
    <xf numFmtId="0" fontId="0" fillId="0" borderId="40" xfId="0" applyNumberFormat="1" applyBorder="1"/>
    <xf numFmtId="0" fontId="0" fillId="77" borderId="26" xfId="0" applyNumberFormat="1" applyFill="1" applyBorder="1"/>
    <xf numFmtId="0" fontId="0" fillId="77" borderId="42" xfId="0" applyNumberFormat="1" applyFill="1" applyBorder="1"/>
    <xf numFmtId="0" fontId="2" fillId="69" borderId="30" xfId="0" applyNumberFormat="1" applyFont="1" applyFill="1" applyBorder="1"/>
    <xf numFmtId="0" fontId="0" fillId="0" borderId="26" xfId="0" applyNumberFormat="1" applyBorder="1"/>
    <xf numFmtId="0" fontId="131" fillId="75" borderId="36" xfId="0" applyNumberFormat="1" applyFont="1" applyFill="1" applyBorder="1"/>
    <xf numFmtId="0" fontId="0" fillId="0" borderId="23" xfId="0" applyNumberFormat="1" applyBorder="1"/>
    <xf numFmtId="0" fontId="0" fillId="0" borderId="35" xfId="0" applyNumberFormat="1" applyBorder="1"/>
    <xf numFmtId="0" fontId="2" fillId="73" borderId="32" xfId="0" applyNumberFormat="1" applyFont="1" applyFill="1" applyBorder="1"/>
    <xf numFmtId="0" fontId="2" fillId="0" borderId="24" xfId="0" applyNumberFormat="1" applyFont="1" applyBorder="1"/>
    <xf numFmtId="0" fontId="0" fillId="75" borderId="24" xfId="0" applyNumberFormat="1" applyFill="1" applyBorder="1"/>
    <xf numFmtId="0" fontId="98" fillId="72" borderId="32" xfId="0" applyNumberFormat="1" applyFont="1" applyFill="1" applyBorder="1"/>
    <xf numFmtId="0" fontId="98" fillId="71" borderId="32" xfId="0" applyNumberFormat="1" applyFont="1" applyFill="1" applyBorder="1"/>
  </cellXfs>
  <cellStyles count="3619">
    <cellStyle name="20 % - Akzent1" xfId="1" xr:uid="{224EBBA8-5E80-43E7-8682-29AC755774D0}"/>
    <cellStyle name="20 % - Akzent1 2" xfId="2246" xr:uid="{CF945691-738F-4A3E-AB30-C3A275F8A9F7}"/>
    <cellStyle name="20 % - Akzent1_IMPORT" xfId="3332" xr:uid="{5F0B7540-30C0-459D-90AA-465E1AAFDC48}"/>
    <cellStyle name="20 % - Akzent2" xfId="2" xr:uid="{B771419E-6939-4EAA-8C4D-A86560DB551F}"/>
    <cellStyle name="20 % - Akzent2 2" xfId="2247" xr:uid="{6620C893-B133-4C67-98D9-413E5BCA79A0}"/>
    <cellStyle name="20 % - Akzent2_IMPORT" xfId="3333" xr:uid="{1318DE43-6126-40F5-896E-69AFA1FDDE19}"/>
    <cellStyle name="20 % - Akzent3" xfId="3" xr:uid="{3F6CC7B1-7286-46DF-8A9C-06C55CEB8610}"/>
    <cellStyle name="20 % - Akzent3 2" xfId="2248" xr:uid="{9C3E4831-6019-425D-A1C9-66F0D64BB96D}"/>
    <cellStyle name="20 % - Akzent3_IMPORT" xfId="3334" xr:uid="{1CEBD754-BA11-4EC1-9920-F243FE8FAA60}"/>
    <cellStyle name="20 % - Akzent4" xfId="4" xr:uid="{176B9B25-2C9D-4F43-9DAE-03CC02ED619C}"/>
    <cellStyle name="20 % - Akzent4 2" xfId="2249" xr:uid="{B65C2BE5-75D2-4B67-B07C-1897838F2EB3}"/>
    <cellStyle name="20 % - Akzent4_IMPORT" xfId="3335" xr:uid="{A511585C-AE77-470C-9110-8D48766931F3}"/>
    <cellStyle name="20 % - Akzent5" xfId="5" xr:uid="{E33B8BB4-4E08-40BC-82DD-D3704B91D34E}"/>
    <cellStyle name="20 % - Akzent5 2" xfId="2250" xr:uid="{755E3758-7D28-426B-93C2-F91F8B6A6B50}"/>
    <cellStyle name="20 % - Akzent5_IMPORT" xfId="3336" xr:uid="{85320B49-496B-4C63-AE0C-ED097D66052F}"/>
    <cellStyle name="20 % - Akzent6" xfId="6" xr:uid="{53ADFAE2-BE91-4159-89BA-5AD48786216F}"/>
    <cellStyle name="20 % - Akzent6 2" xfId="2251" xr:uid="{80143346-FEB3-4C9B-9A1E-3EAE784011DF}"/>
    <cellStyle name="20 % - Akzent6_IMPORT" xfId="3337" xr:uid="{D04F72F7-B60A-49FB-8FE7-9BA3AAA74D96}"/>
    <cellStyle name="20% - Accent1" xfId="7" xr:uid="{35D99873-823C-4FDD-8B77-0D6005FC94B1}"/>
    <cellStyle name="20% - Accent1 2" xfId="8" xr:uid="{A95B02EC-05E0-49D2-A018-6142C658FDF3}"/>
    <cellStyle name="20% - Accent1 2 2" xfId="2330" xr:uid="{D58D5C1A-0B6F-484C-A6AC-F56FAFB1C321}"/>
    <cellStyle name="20% - Accent1 3" xfId="2329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32" xr:uid="{D4AB0349-F4B0-47BE-AD83-1DB148791F18}"/>
    <cellStyle name="20% - Accent2 3" xfId="2331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34" xr:uid="{26605D00-2EDF-48E6-B0AC-F995C1DA20F1}"/>
    <cellStyle name="20% - Accent3 3" xfId="2333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36" xr:uid="{33FA0924-7A51-43A9-A912-0D003F22990B}"/>
    <cellStyle name="20% - Accent4 3" xfId="2335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38" xr:uid="{751B3C55-5E95-448C-AAE0-403CEFFC14EE}"/>
    <cellStyle name="20% - Accent5 3" xfId="2337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0" xr:uid="{63C76DC6-72B6-47BF-AAA0-B6D5168A720E}"/>
    <cellStyle name="20% - Accent6 3" xfId="2339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87" xr:uid="{1D62CFCF-9135-49BA-AA85-A7E983E69391}"/>
    <cellStyle name="20% - akcent 1 11" xfId="28" xr:uid="{B0743A53-2D30-4FC9-A599-C402B4C43E0D}"/>
    <cellStyle name="20% - akcent 1 11 2" xfId="2987" xr:uid="{0841F496-E7BF-46B8-8B6F-19789A6AE597}"/>
    <cellStyle name="20% - akcent 1 12" xfId="29" xr:uid="{B1C6D73F-5725-4425-95E9-4476899AEE8C}"/>
    <cellStyle name="20% - akcent 1 12 2" xfId="2917" xr:uid="{62748F31-8352-4ED6-9119-5D2FB61CD58F}"/>
    <cellStyle name="20% - akcent 1 13" xfId="30" xr:uid="{DD235EE0-5995-47A0-BAC9-07C8A93F4BC7}"/>
    <cellStyle name="20% - akcent 1 13 2" xfId="3098" xr:uid="{381FD2E4-82D2-4AAE-BB70-BC5092087D68}"/>
    <cellStyle name="20% - akcent 1 14" xfId="31" xr:uid="{0F31BA0A-6151-4EAC-934F-264BD3248AF1}"/>
    <cellStyle name="20% - akcent 1 14 2" xfId="2798" xr:uid="{07EA7AEC-8C32-44CA-8BF2-EA3395586B70}"/>
    <cellStyle name="20% - akcent 1 15" xfId="32" xr:uid="{77D5CA88-488C-40D7-946A-B616992C38FB}"/>
    <cellStyle name="20% - akcent 1 15 2" xfId="2711" xr:uid="{75DB9417-0EAD-4729-A200-3C2C99A84FB4}"/>
    <cellStyle name="20% - akcent 1 16" xfId="33" xr:uid="{3CAB38F4-3861-4043-BF62-50121016777F}"/>
    <cellStyle name="20% - akcent 1 16 2" xfId="2876" xr:uid="{FF1E7C20-0801-42FC-8C24-98F422F1DA28}"/>
    <cellStyle name="20% - akcent 1 17" xfId="34" xr:uid="{8540CF0A-3414-4C8F-AADB-0B6E04F53CF6}"/>
    <cellStyle name="20% - akcent 1 17 2" xfId="2844" xr:uid="{7CE88D21-E6BF-4FBB-918C-8AE46EA7B118}"/>
    <cellStyle name="20% - akcent 1 18" xfId="35" xr:uid="{5693C806-1988-4A33-9580-889C77220B9E}"/>
    <cellStyle name="20% - akcent 1 18 2" xfId="2931" xr:uid="{B0F9907F-AB42-4752-911E-7E4DD15573FE}"/>
    <cellStyle name="20% - akcent 1 19" xfId="36" xr:uid="{EB810B62-8035-4FEA-B876-6183B2400CC5}"/>
    <cellStyle name="20% - akcent 1 19 2" xfId="2837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1" xr:uid="{D0171026-07B9-442E-A9CA-39D885216176}"/>
    <cellStyle name="20% - akcent 1 2 2 2" xfId="2459" xr:uid="{4A1A5810-7A51-49D7-9E8C-38A120E78C2E}"/>
    <cellStyle name="20% - akcent 1 2 3" xfId="40" xr:uid="{BDF52333-8208-486D-A27B-ABDAF35A9E94}"/>
    <cellStyle name="20% - akcent 1 2 3 2" xfId="2430" xr:uid="{AAC1F9AF-62F3-4167-BCC7-B68286CA739A}"/>
    <cellStyle name="20% - akcent 1 2 4" xfId="2253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35" xr:uid="{26259618-EACA-4F84-AD05-D68EB23560B9}"/>
    <cellStyle name="20% - akcent 1 21" xfId="44" xr:uid="{40A52516-4D96-4AEF-ABC0-47D8068F95AB}"/>
    <cellStyle name="20% - akcent 1 21 2" xfId="2833" xr:uid="{E8E6163E-198E-4489-B12C-36822B7C0F6E}"/>
    <cellStyle name="20% - akcent 1 22" xfId="45" xr:uid="{038E47A8-8764-4B85-B60D-0CEA52244060}"/>
    <cellStyle name="20% - akcent 1 22 2" xfId="2703" xr:uid="{1290913A-0313-4A38-B90F-C1FE8426DA13}"/>
    <cellStyle name="20% - akcent 1 23" xfId="46" xr:uid="{2DC4F9D7-E63D-4C26-B566-3E0B6D1426E2}"/>
    <cellStyle name="20% - akcent 1 23 2" xfId="2748" xr:uid="{242A87B4-1653-4910-9EC7-3113EF66A02E}"/>
    <cellStyle name="20% - akcent 1 24" xfId="47" xr:uid="{04E22054-8051-472C-B11C-39CA6900E98E}"/>
    <cellStyle name="20% - akcent 1 24 2" xfId="2729" xr:uid="{BBE67E7F-A27C-46F3-978F-47525C6083BD}"/>
    <cellStyle name="20% - akcent 1 25" xfId="48" xr:uid="{5763C4EF-49E7-4BF7-A09F-72F1027607F9}"/>
    <cellStyle name="20% - akcent 1 25 2" xfId="2736" xr:uid="{1610CB19-3283-43B1-ABBD-D92406AA6D5D}"/>
    <cellStyle name="20% - akcent 1 26" xfId="49" xr:uid="{61A852B4-B3F3-401C-B877-D400E444A33E}"/>
    <cellStyle name="20% - akcent 1 26 2" xfId="2871" xr:uid="{89C4DE39-FF60-4DAB-BFDA-2A34360BD9CB}"/>
    <cellStyle name="20% - akcent 1 27" xfId="50" xr:uid="{6A822C6E-FD46-4EAB-9626-F67EAF2C1AC8}"/>
    <cellStyle name="20% - akcent 1 27 2" xfId="3004" xr:uid="{870220FC-E030-45EA-871D-B1563F4A265D}"/>
    <cellStyle name="20% - akcent 1 28" xfId="51" xr:uid="{319C5D52-B1E3-4A23-A375-B8F8E50B9EB9}"/>
    <cellStyle name="20% - akcent 1 28 2" xfId="2819" xr:uid="{650EFD06-324F-4A30-91B2-32AE5F16ABE6}"/>
    <cellStyle name="20% - akcent 1 29" xfId="52" xr:uid="{7D8962EF-551A-44F5-8731-FD434C7A9128}"/>
    <cellStyle name="20% - akcent 1 29 2" xfId="3058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13" xr:uid="{F056EBB2-2519-47FA-8324-9E3B67518241}"/>
    <cellStyle name="20% - akcent 1 30" xfId="55" xr:uid="{015A144A-B569-4971-AFDC-DB5EF009064F}"/>
    <cellStyle name="20% - akcent 1 30 2" xfId="2911" xr:uid="{1D963D39-4395-4C2D-984D-640F8F5CCF13}"/>
    <cellStyle name="20% - akcent 1 31" xfId="56" xr:uid="{909804A6-582C-4A65-8992-2844BC07F7CB}"/>
    <cellStyle name="20% - akcent 1 31 2" xfId="2840" xr:uid="{4ED99D06-BBC4-4EA6-8D55-3911DA95E73D}"/>
    <cellStyle name="20% - akcent 1 32" xfId="57" xr:uid="{0E150C48-4608-4ABF-9010-7AB2FA1EFF8C}"/>
    <cellStyle name="20% - akcent 1 32 2" xfId="2934" xr:uid="{FFA74951-C40D-4DAA-BBF8-A273A1A8DA3A}"/>
    <cellStyle name="20% - akcent 1 33" xfId="58" xr:uid="{34EB2795-7F7E-4EA7-A99E-9F9C602B8D8B}"/>
    <cellStyle name="20% - akcent 1 33 2" xfId="2834" xr:uid="{B9AB93EA-77B4-48D0-B224-3B748D64B426}"/>
    <cellStyle name="20% - akcent 1 34" xfId="59" xr:uid="{AE069542-A6E7-475A-83DC-0B300BAB0914}"/>
    <cellStyle name="20% - akcent 1 34 2" xfId="2937" xr:uid="{EE91CF92-0CE9-4FC1-A025-161CA530A736}"/>
    <cellStyle name="20% - akcent 1 35" xfId="60" xr:uid="{1AF80DD2-EF9E-493A-A8DE-56EDFDC5AADE}"/>
    <cellStyle name="20% - akcent 1 35 2" xfId="2656" xr:uid="{981937AE-9DB7-4702-9A90-B48F2D986FFE}"/>
    <cellStyle name="20% - akcent 1 36" xfId="61" xr:uid="{0CCCA6DC-D785-42FB-A71E-F0ECE5C32FD1}"/>
    <cellStyle name="20% - akcent 1 36 2" xfId="3021" xr:uid="{49BF5709-6D1B-47CF-9A25-EF15BD74C16C}"/>
    <cellStyle name="20% - akcent 1 37" xfId="62" xr:uid="{BD46B09E-70FD-4C2B-A695-CCAF2BC78C91}"/>
    <cellStyle name="20% - akcent 1 37 2" xfId="3042" xr:uid="{3880EB65-F13A-48EC-BF6F-36B482481C49}"/>
    <cellStyle name="20% - akcent 1 38" xfId="63" xr:uid="{3796DA93-8EF2-44E1-8797-21A1433CD009}"/>
    <cellStyle name="20% - akcent 1 38 2" xfId="2602" xr:uid="{2C58D9D1-017F-41DA-B337-F356A836CE13}"/>
    <cellStyle name="20% - akcent 1 39" xfId="64" xr:uid="{1998107E-18F3-4D52-BA29-42C01F704759}"/>
    <cellStyle name="20% - akcent 1 39 2" xfId="3073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85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08" xr:uid="{5C2B617F-D364-4273-9BA6-EBA3AFCFBB1F}"/>
    <cellStyle name="20% - akcent 1 41" xfId="70" xr:uid="{D4610F05-226B-47BD-AAC1-6EE814B645C5}"/>
    <cellStyle name="20% - akcent 1 41 2" xfId="2925" xr:uid="{54970B38-6F5A-47D3-8B61-11F40CA70821}"/>
    <cellStyle name="20% - akcent 1 42" xfId="71" xr:uid="{61B193E4-F74D-4003-AC30-6AFA8783CEFF}"/>
    <cellStyle name="20% - akcent 1 42 2" xfId="2659" xr:uid="{38FA2FD6-3B24-4915-B582-74618F10126C}"/>
    <cellStyle name="20% - akcent 1 43" xfId="72" xr:uid="{6B74F3E5-ED9A-42ED-8582-2469E58A7A22}"/>
    <cellStyle name="20% - akcent 1 43 2" xfId="3068" xr:uid="{6B6B1FD3-114C-4953-B193-09740D8BCD4C}"/>
    <cellStyle name="20% - akcent 1 44" xfId="73" xr:uid="{FED625DE-6A91-4F86-AC1F-B01C55E4D115}"/>
    <cellStyle name="20% - akcent 1 44 2" xfId="3207" xr:uid="{2F61577A-EBF5-4298-A0AC-E1F27EBF94F9}"/>
    <cellStyle name="20% - akcent 1 45" xfId="74" xr:uid="{7FD92EAD-EFD3-4A1D-98BA-0C10E13AB708}"/>
    <cellStyle name="20% - akcent 1 45 2" xfId="3286" xr:uid="{809199EC-D642-49C7-AA69-6F6AE59E46CC}"/>
    <cellStyle name="20% - akcent 1 46" xfId="75" xr:uid="{037C1418-B5F6-4E0A-AEDD-31AA38C1E51B}"/>
    <cellStyle name="20% - akcent 1 46 2" xfId="3233" xr:uid="{B4172485-9973-4A4E-8917-2E9A721BA7DA}"/>
    <cellStyle name="20% - akcent 1 47" xfId="76" xr:uid="{4879C4C0-48F2-4D1A-86DE-CE3E573167BD}"/>
    <cellStyle name="20% - akcent 1 47 2" xfId="3285" xr:uid="{A9A134A6-758C-4477-9086-3042061E2EF5}"/>
    <cellStyle name="20% - akcent 1 48" xfId="77" xr:uid="{2EAC117F-4332-44C4-9F94-665D0738B3FD}"/>
    <cellStyle name="20% - akcent 1 48 2" xfId="3236" xr:uid="{EC6C8F0B-B43F-4BA0-9FA3-8855B8571F10}"/>
    <cellStyle name="20% - akcent 1 49" xfId="78" xr:uid="{BB5D80D3-40CD-4107-A3DA-246525C60013}"/>
    <cellStyle name="20% - akcent 1 49 2" xfId="3307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56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52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29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17" xr:uid="{B942EF71-03F5-4209-8426-2D0626A5D06F}"/>
    <cellStyle name="20% - akcent 1 8" xfId="91" xr:uid="{45F56421-B289-43EC-97B3-48F251B2A152}"/>
    <cellStyle name="20% - akcent 1 8 2" xfId="2507" xr:uid="{EF9C4E9C-DEA3-41EE-AA5B-3860DA9675E2}"/>
    <cellStyle name="20% - akcent 1 9" xfId="92" xr:uid="{009A647F-E5BF-4888-8543-3CAF66E4B5F5}"/>
    <cellStyle name="20% - akcent 1 9 2" xfId="2580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0" xr:uid="{AF581789-F3C0-4A1A-9DB7-2D6182ED4E36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IMPORT" xfId="3338" xr:uid="{E6A96E63-A4FD-49A3-86E6-120E02FF6EF1}"/>
    <cellStyle name="20% — akcent 1_IMPORT" xfId="3339" xr:uid="{98E8CA79-BE58-41BF-A5AB-15858A09083B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IMPORT" xfId="3343" xr:uid="{AA87945A-3CFE-4CE8-B207-0227CB28F50F}"/>
    <cellStyle name="20% — akcent 1_slownik_1_IMPORT" xfId="3344" xr:uid="{C82000CB-C607-4AAA-9088-22CFA5960FFB}"/>
    <cellStyle name="20% - akcent 1_slownik_1_slownik" xfId="3559" xr:uid="{8E07383F-1A8F-460E-A097-818D09EF9824}"/>
    <cellStyle name="20% — akcent 1_slownik_1_slownik" xfId="3560" xr:uid="{F50E4567-25AD-4D5A-8012-4B2538F7962E}"/>
    <cellStyle name="20% - akcent 1_slownik_2" xfId="3345" xr:uid="{A0E07859-DDED-4470-A6A5-922259BC7CF4}"/>
    <cellStyle name="20% — akcent 1_slownik_2" xfId="3346" xr:uid="{49B26689-D50E-4685-BCDE-333CA75CFEC1}"/>
    <cellStyle name="20% - akcent 1_slownik_3" xfId="3561" xr:uid="{EF1F6C8B-ECF7-4ACC-864D-E54CE3AFBB03}"/>
    <cellStyle name="20% — akcent 1_slownik_3" xfId="3562" xr:uid="{F3482F48-5EDD-4B20-A0CE-B07F0991554A}"/>
    <cellStyle name="20% - akcent 1_slownik_IMPORT" xfId="3341" xr:uid="{0C8D9BD9-7056-4FC1-8922-DEC3F7DDC4D3}"/>
    <cellStyle name="20% — akcent 1_slownik_IMPORT" xfId="3342" xr:uid="{40B93E6C-0967-435E-AA94-C6CCEBCCF1F4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896" xr:uid="{D31BB857-7391-4165-AEF3-366D9862B9F6}"/>
    <cellStyle name="20% - akcent 2 11" xfId="112" xr:uid="{F71E430F-8A3E-4CD9-880C-6A963CB7023D}"/>
    <cellStyle name="20% - akcent 2 11 2" xfId="2928" xr:uid="{07399C95-C575-43D3-9080-5409BC012AAF}"/>
    <cellStyle name="20% - akcent 2 12" xfId="113" xr:uid="{630685B5-4155-4C0E-ADA9-B7757A8C8A36}"/>
    <cellStyle name="20% - akcent 2 12 2" xfId="3089" xr:uid="{7EA290F2-2924-4971-9700-30124D3B55AF}"/>
    <cellStyle name="20% - akcent 2 13" xfId="114" xr:uid="{3065ECE4-CEC8-4229-A870-73BA6040F395}"/>
    <cellStyle name="20% - akcent 2 13 2" xfId="2982" xr:uid="{8B6C3C14-7CED-436F-BAC2-3B5347F7FB1E}"/>
    <cellStyle name="20% - akcent 2 14" xfId="115" xr:uid="{68CE3FE9-D833-4A24-B3D9-5D8171BD6E75}"/>
    <cellStyle name="20% - akcent 2 14 2" xfId="3106" xr:uid="{263364B6-ECD3-48BE-ADE1-16A9604C321F}"/>
    <cellStyle name="20% - akcent 2 15" xfId="116" xr:uid="{880A640E-0B8B-4F2F-AE72-D0460F533A45}"/>
    <cellStyle name="20% - akcent 2 15 2" xfId="3112" xr:uid="{B8A9CC99-C806-4C4C-AACC-7540E8A3009C}"/>
    <cellStyle name="20% - akcent 2 16" xfId="117" xr:uid="{DD79CEAF-3456-4000-8038-21B27DFBAFDE}"/>
    <cellStyle name="20% - akcent 2 16 2" xfId="3118" xr:uid="{9A15FEB2-CC6B-4077-9404-6AC85FCECDAA}"/>
    <cellStyle name="20% - akcent 2 17" xfId="118" xr:uid="{85B9B3F0-2765-42F6-916C-203EFD6CA262}"/>
    <cellStyle name="20% - akcent 2 17 2" xfId="3123" xr:uid="{3009D9E1-32CD-4D73-B920-E3B7F77A0C0A}"/>
    <cellStyle name="20% - akcent 2 18" xfId="119" xr:uid="{EB847795-5BB2-4C6C-A32A-CF1B3B09D615}"/>
    <cellStyle name="20% - akcent 2 18 2" xfId="3128" xr:uid="{A0266CED-9C1C-421C-9CC0-E4C0441DC95A}"/>
    <cellStyle name="20% - akcent 2 19" xfId="120" xr:uid="{25DB1CA8-4529-4C11-B2F7-08E53888F917}"/>
    <cellStyle name="20% - akcent 2 19 2" xfId="3133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42" xr:uid="{7EB44E3C-710D-492C-8838-A487A5233FDA}"/>
    <cellStyle name="20% - akcent 2 2 2 2" xfId="2460" xr:uid="{AE82020B-4B27-4B0F-9E43-B5B8C47627B9}"/>
    <cellStyle name="20% - akcent 2 2 3" xfId="124" xr:uid="{3041FC22-BC7B-48D1-A0E6-559A8D60FE28}"/>
    <cellStyle name="20% - akcent 2 2 3 2" xfId="2432" xr:uid="{81AB9524-22E7-4102-BB8E-E7B2527A0310}"/>
    <cellStyle name="20% - akcent 2 2 4" xfId="2255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38" xr:uid="{318A70BF-950C-4675-9691-0D32DDDE47B4}"/>
    <cellStyle name="20% - akcent 2 21" xfId="128" xr:uid="{01C4B6FC-1A23-44C9-BC31-7CBA0A42BD62}"/>
    <cellStyle name="20% - akcent 2 21 2" xfId="3143" xr:uid="{E402CBB5-5228-43DE-B2E8-AD5970388AFB}"/>
    <cellStyle name="20% - akcent 2 22" xfId="129" xr:uid="{26E88D72-DFF5-46C9-957C-259ECF304CC0}"/>
    <cellStyle name="20% - akcent 2 22 2" xfId="3148" xr:uid="{C211BB80-861C-48E6-8FB7-713DCE1778EC}"/>
    <cellStyle name="20% - akcent 2 23" xfId="130" xr:uid="{54BE3A80-D6A7-4D52-821A-AD35AFD83B1E}"/>
    <cellStyle name="20% - akcent 2 23 2" xfId="3153" xr:uid="{A8BB79DE-13C3-4074-8115-3286241FD0A3}"/>
    <cellStyle name="20% - akcent 2 24" xfId="131" xr:uid="{627041AA-D992-4FEE-9425-8C2729E2CD3B}"/>
    <cellStyle name="20% - akcent 2 24 2" xfId="3157" xr:uid="{1A8A9853-E9FA-4BAB-A2B5-52C36325801C}"/>
    <cellStyle name="20% - akcent 2 25" xfId="132" xr:uid="{BBFA66F6-60A3-411E-8972-FFA514125187}"/>
    <cellStyle name="20% - akcent 2 25 2" xfId="3161" xr:uid="{9D4BB405-1162-4CAB-847C-029FABBEFE52}"/>
    <cellStyle name="20% - akcent 2 26" xfId="133" xr:uid="{9B705878-CCD5-450D-AF96-4991CA26419F}"/>
    <cellStyle name="20% - akcent 2 26 2" xfId="3164" xr:uid="{76432DAB-12CA-4AFA-9903-E6713BCC0691}"/>
    <cellStyle name="20% - akcent 2 27" xfId="134" xr:uid="{5F2AE053-BFBE-4B3D-9B31-41A8EECEF95C}"/>
    <cellStyle name="20% - akcent 2 27 2" xfId="3167" xr:uid="{239EC06C-2C11-4982-894F-BDA55327DBB6}"/>
    <cellStyle name="20% - akcent 2 28" xfId="135" xr:uid="{874415F5-BF83-4BE3-A682-A7E80558B1F6}"/>
    <cellStyle name="20% - akcent 2 28 2" xfId="3170" xr:uid="{6B514A76-A960-4569-A877-E4E22870091E}"/>
    <cellStyle name="20% - akcent 2 29" xfId="136" xr:uid="{4B5A746B-B336-4FEC-A363-097C9B48E154}"/>
    <cellStyle name="20% - akcent 2 29 2" xfId="3173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14" xr:uid="{BF34D20E-55C0-4B89-B7C2-EF0955C95ACE}"/>
    <cellStyle name="20% - akcent 2 30" xfId="139" xr:uid="{7C718556-2F62-42EE-92D3-BBEC2FE345C2}"/>
    <cellStyle name="20% - akcent 2 30 2" xfId="3176" xr:uid="{ED2F9006-FDA2-4DE7-9185-3922813E311E}"/>
    <cellStyle name="20% - akcent 2 31" xfId="140" xr:uid="{B95F8220-1BC2-48C9-84C2-17A41A7BA150}"/>
    <cellStyle name="20% - akcent 2 31 2" xfId="3179" xr:uid="{73CCBF55-FF9C-4496-8806-12ECF2CA63BA}"/>
    <cellStyle name="20% - akcent 2 32" xfId="141" xr:uid="{1C9BD08C-C19E-446D-B264-CD07F59CDC11}"/>
    <cellStyle name="20% - akcent 2 32 2" xfId="3182" xr:uid="{FB54857C-6FFD-47D6-AC68-937F1E1F6428}"/>
    <cellStyle name="20% - akcent 2 33" xfId="142" xr:uid="{8075B34C-EC20-4AF8-A60C-275D8321649A}"/>
    <cellStyle name="20% - akcent 2 33 2" xfId="3185" xr:uid="{A160EBA8-9DB6-40CD-A1EF-B321B69CDB20}"/>
    <cellStyle name="20% - akcent 2 34" xfId="143" xr:uid="{EC022844-799F-49E4-9024-F01A918A5546}"/>
    <cellStyle name="20% - akcent 2 34 2" xfId="3187" xr:uid="{BA6E8839-A84D-442F-B666-C077EF59A697}"/>
    <cellStyle name="20% - akcent 2 35" xfId="144" xr:uid="{299E0701-16FC-4658-A46B-2AC1893FB286}"/>
    <cellStyle name="20% - akcent 2 35 2" xfId="3189" xr:uid="{4E8C0FF1-18C6-4199-B45B-EAB2FAF8B5C6}"/>
    <cellStyle name="20% - akcent 2 36" xfId="145" xr:uid="{136AA517-9096-4D31-9227-1DA49A11DCD7}"/>
    <cellStyle name="20% - akcent 2 36 2" xfId="3191" xr:uid="{E15A88EA-D606-414F-B4C7-2831A8C09CED}"/>
    <cellStyle name="20% - akcent 2 37" xfId="146" xr:uid="{AB999146-2CF8-45AC-B217-9D3DDF5444DF}"/>
    <cellStyle name="20% - akcent 2 37 2" xfId="3193" xr:uid="{C0E3E15A-4CFC-4E82-A1FF-440673AF84B7}"/>
    <cellStyle name="20% - akcent 2 38" xfId="147" xr:uid="{B5D7CEF0-D61E-4E55-B632-0499C5C272C2}"/>
    <cellStyle name="20% - akcent 2 38 2" xfId="3195" xr:uid="{9D898CFC-BC94-4DE4-BA96-C78E025D7A36}"/>
    <cellStyle name="20% - akcent 2 39" xfId="148" xr:uid="{DCED60BB-F2FA-45FD-9A62-7AB77FF07C23}"/>
    <cellStyle name="20% - akcent 2 39 2" xfId="3197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86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199" xr:uid="{3DF16366-79EB-4C30-B42A-E9CC66ECAE31}"/>
    <cellStyle name="20% - akcent 2 41" xfId="154" xr:uid="{2FF22C9D-6F69-4726-A4D0-27EB86BB9C71}"/>
    <cellStyle name="20% - akcent 2 41 2" xfId="3201" xr:uid="{2FB534D4-51A2-4D87-AD9F-3D189620D457}"/>
    <cellStyle name="20% - akcent 2 42" xfId="155" xr:uid="{18A127EE-8E6D-49D2-8AA3-FA89DBF5548D}"/>
    <cellStyle name="20% - akcent 2 42 2" xfId="3202" xr:uid="{881C3F08-4028-49C5-993C-EED8ACEC8357}"/>
    <cellStyle name="20% - akcent 2 43" xfId="156" xr:uid="{F05363B7-5C98-4385-BF27-7C82D818CA00}"/>
    <cellStyle name="20% - akcent 2 43 2" xfId="3203" xr:uid="{5A1B69E7-55BD-4DC9-BFD6-3B9C8B3AF299}"/>
    <cellStyle name="20% - akcent 2 44" xfId="157" xr:uid="{42C4373D-F15E-488B-BE7B-CAAD8160F37D}"/>
    <cellStyle name="20% - akcent 2 44 2" xfId="3208" xr:uid="{895A87A5-800B-4851-987C-5E9C8FC9408B}"/>
    <cellStyle name="20% - akcent 2 45" xfId="158" xr:uid="{99413291-C4A3-4C16-9D37-37A38360A973}"/>
    <cellStyle name="20% - akcent 2 45 2" xfId="3245" xr:uid="{6263A55D-AD3C-412F-B297-1B01B265D7F1}"/>
    <cellStyle name="20% - akcent 2 46" xfId="159" xr:uid="{F51855A5-E5C0-4D95-B1DA-99E6A686EBB6}"/>
    <cellStyle name="20% - akcent 2 46 2" xfId="3278" xr:uid="{03D753B4-870C-4FD6-9C1E-0AE4EDDD1C3D}"/>
    <cellStyle name="20% - akcent 2 47" xfId="160" xr:uid="{CA080A08-C64F-4030-B91A-4CD6C2F0BE2C}"/>
    <cellStyle name="20% - akcent 2 47 2" xfId="3293" xr:uid="{47C73578-DE80-4C7E-B386-06070AD1271C}"/>
    <cellStyle name="20% - akcent 2 48" xfId="161" xr:uid="{8D82627D-6118-49A5-ABD0-078B0BE6A501}"/>
    <cellStyle name="20% - akcent 2 48 2" xfId="3205" xr:uid="{B034C4EA-DBC5-4096-B14D-1792A510A27A}"/>
    <cellStyle name="20% - akcent 2 49" xfId="162" xr:uid="{2B712278-5345-455B-BB46-3F82C28579A8}"/>
    <cellStyle name="20% - akcent 2 49 2" xfId="3228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1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54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18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08" xr:uid="{1B70B1F7-4470-44FC-B8F3-71E36E27BC70}"/>
    <cellStyle name="20% - akcent 2 9" xfId="175" xr:uid="{C79D7156-4708-44B9-806C-F434BEA670F1}"/>
    <cellStyle name="20% - akcent 2 9 2" xfId="2585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49" xr:uid="{F6353310-93CB-45FD-AB4C-A550A27DBD92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IMPORT" xfId="3347" xr:uid="{72634405-0395-410D-8E33-1F532ED96E30}"/>
    <cellStyle name="20% — akcent 2_IMPORT" xfId="3348" xr:uid="{553072CF-14D0-48F4-A319-2BCF1FA4027C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IMPORT" xfId="3351" xr:uid="{BEB40AED-236A-4433-B6A4-B1F4281A1E7E}"/>
    <cellStyle name="20% — akcent 2_slownik_1_slownik" xfId="3563" xr:uid="{97380461-63BB-4D33-A7E8-0EF2AD6EA398}"/>
    <cellStyle name="20% - akcent 2_slownik_2" xfId="3352" xr:uid="{E22A2ECF-EB78-4F21-A277-88D733B6B1F9}"/>
    <cellStyle name="20% — akcent 2_slownik_2" xfId="3353" xr:uid="{E400940C-42E7-41AF-AE58-5C4F42362EB6}"/>
    <cellStyle name="20% - akcent 2_slownik_3" xfId="3564" xr:uid="{5425189E-8EC9-4F70-B7DB-09AED8AC3FEA}"/>
    <cellStyle name="20% — akcent 2_slownik_3" xfId="3565" xr:uid="{9165B0F4-60FC-40C9-87FB-51518055A9FA}"/>
    <cellStyle name="20% - akcent 2_slownik_IMPORT" xfId="3350" xr:uid="{EB385FAB-BA13-4766-AE39-69764EE21D50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76" xr:uid="{22FF91C8-3AB1-437A-BC48-4F0785E2FEBC}"/>
    <cellStyle name="20% - akcent 3 11" xfId="195" xr:uid="{315D5B20-54F6-4C5A-9C30-55E081EA036D}"/>
    <cellStyle name="20% - akcent 3 11 2" xfId="2905" xr:uid="{9FD4621E-00BD-4532-8507-29DC410C2210}"/>
    <cellStyle name="20% - akcent 3 12" xfId="196" xr:uid="{A1D09F92-3AC0-4754-9E5F-1F8D6134CA10}"/>
    <cellStyle name="20% - akcent 3 12 2" xfId="3097" xr:uid="{0C4ACED1-9968-46C9-9BF3-AE3FD0D42A1D}"/>
    <cellStyle name="20% - akcent 3 13" xfId="197" xr:uid="{A16FEC7C-0122-4851-A718-530DC409242C}"/>
    <cellStyle name="20% - akcent 3 13 2" xfId="2799" xr:uid="{3A6D2B0E-768A-49BC-96DA-D9E890F6970E}"/>
    <cellStyle name="20% - akcent 3 14" xfId="198" xr:uid="{0AADFC39-0F97-4E7D-AA71-40120B18C282}"/>
    <cellStyle name="20% - akcent 3 14 2" xfId="2952" xr:uid="{1703FFAC-6575-4289-8CD7-CFAE608A760C}"/>
    <cellStyle name="20% - akcent 3 15" xfId="199" xr:uid="{DB47EBBB-817F-4880-A107-D63E698764F7}"/>
    <cellStyle name="20% - akcent 3 15 2" xfId="2647" xr:uid="{A8ED6687-B507-4818-A999-54E3543EAAE7}"/>
    <cellStyle name="20% - akcent 3 16" xfId="200" xr:uid="{9080B68A-F4CA-4092-8D4C-F19C00D4D9ED}"/>
    <cellStyle name="20% - akcent 3 16 2" xfId="2980" xr:uid="{57FB2684-F9F6-4235-BC6C-E522490F9E60}"/>
    <cellStyle name="20% - akcent 3 17" xfId="201" xr:uid="{7E9CD93F-C026-46A2-972E-D3A7A3F9189A}"/>
    <cellStyle name="20% - akcent 3 17 2" xfId="2630" xr:uid="{507113D3-4391-4ED1-A1A9-F1BE9996C8CC}"/>
    <cellStyle name="20% - akcent 3 18" xfId="202" xr:uid="{1C342F2A-10FC-4200-99CF-196E128370CB}"/>
    <cellStyle name="20% - akcent 3 18 2" xfId="3070" xr:uid="{4FF6AB82-6547-495F-B6FC-F1BB23488370}"/>
    <cellStyle name="20% - akcent 3 19" xfId="203" xr:uid="{8C19145D-9037-43E0-B3A5-613D961B7960}"/>
    <cellStyle name="20% - akcent 3 19 2" xfId="2589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43" xr:uid="{CF768FEB-6590-4A6C-B633-454E1F58C5C1}"/>
    <cellStyle name="20% - akcent 3 2 2 2" xfId="2461" xr:uid="{C70C8016-B7F4-44BF-9532-6E494423488E}"/>
    <cellStyle name="20% - akcent 3 2 3" xfId="207" xr:uid="{3C1C473A-4E90-43FD-9C07-B412856126DA}"/>
    <cellStyle name="20% - akcent 3 2 3 2" xfId="2434" xr:uid="{54C1ABA4-12B3-4284-A325-FC3A0D5842BC}"/>
    <cellStyle name="20% - akcent 3 2 4" xfId="2257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2993" xr:uid="{3541E5E2-0B08-41D4-927C-FA0A4C7B19B8}"/>
    <cellStyle name="20% - akcent 3 21" xfId="211" xr:uid="{115E032C-9888-472B-8E7A-775BE3FFCABA}"/>
    <cellStyle name="20% - akcent 3 21 2" xfId="2626" xr:uid="{412DFDE4-858B-48C6-8613-60CDABDF6149}"/>
    <cellStyle name="20% - akcent 3 22" xfId="212" xr:uid="{D9B4A166-B1C9-4F49-B5FA-AED215DAC7F1}"/>
    <cellStyle name="20% - akcent 3 22 2" xfId="3079" xr:uid="{77A14BBB-E42E-4E13-BA45-3DA8148A4E50}"/>
    <cellStyle name="20% - akcent 3 23" xfId="213" xr:uid="{37C0BD3C-16DB-4C5D-B681-127C96A741E0}"/>
    <cellStyle name="20% - akcent 3 23 2" xfId="2805" xr:uid="{1913887A-1048-4A45-AF6A-301956050685}"/>
    <cellStyle name="20% - akcent 3 24" xfId="214" xr:uid="{F8FEFF43-CD99-478C-9A76-64E8A03293C6}"/>
    <cellStyle name="20% - akcent 3 24 2" xfId="2858" xr:uid="{7B9EBCBF-FAB1-414D-8029-0508C4720F15}"/>
    <cellStyle name="20% - akcent 3 25" xfId="215" xr:uid="{B7EBFB2A-F42C-493B-8ADD-1FA7F4D5C361}"/>
    <cellStyle name="20% - akcent 3 25 2" xfId="2692" xr:uid="{2CD9BE90-EB9D-4AE3-A4C2-244C23B62926}"/>
    <cellStyle name="20% - akcent 3 26" xfId="216" xr:uid="{277B7067-EF3B-4370-9B61-C7913ED929C1}"/>
    <cellStyle name="20% - akcent 3 26 2" xfId="2752" xr:uid="{ECA9E9BF-8BA9-4010-9F17-247B01B812CE}"/>
    <cellStyle name="20% - akcent 3 27" xfId="217" xr:uid="{94AAF571-5AB1-4840-B55F-5E0AAA94D1C7}"/>
    <cellStyle name="20% - akcent 3 27 2" xfId="2727" xr:uid="{4906A28E-85AA-435E-8B63-7DC7BF8CD7FA}"/>
    <cellStyle name="20% - akcent 3 28" xfId="218" xr:uid="{6D5A5332-A593-4749-8A3B-15D0311899C6}"/>
    <cellStyle name="20% - akcent 3 28 2" xfId="2737" xr:uid="{14DD1ED4-781C-4A1D-AA3A-75D531F06F76}"/>
    <cellStyle name="20% - akcent 3 29" xfId="219" xr:uid="{72A4AF0D-F0BB-48E8-90C2-02897ADDABAE}"/>
    <cellStyle name="20% - akcent 3 29 2" xfId="2961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15" xr:uid="{110518A9-F3AC-4174-9776-3F156F7149C4}"/>
    <cellStyle name="20% - akcent 3 30" xfId="222" xr:uid="{A80DB729-7CF0-4365-A8A1-14B44645E4B3}"/>
    <cellStyle name="20% - akcent 3 30 2" xfId="2642" xr:uid="{83E9113A-32CB-4E78-97AC-6DCF15B69E83}"/>
    <cellStyle name="20% - akcent 3 31" xfId="223" xr:uid="{0B7C997F-0E2F-4271-B88F-155EE24A1308}"/>
    <cellStyle name="20% - akcent 3 31 2" xfId="2761" xr:uid="{83B4ECFA-A3A0-4AF6-8921-58CBF89A3E61}"/>
    <cellStyle name="20% - akcent 3 32" xfId="224" xr:uid="{372AED71-6050-48DA-A625-FEFC51764C75}"/>
    <cellStyle name="20% - akcent 3 32 2" xfId="2866" xr:uid="{07336D31-A070-4DB8-9234-7CDE10CB9BFE}"/>
    <cellStyle name="20% - akcent 3 33" xfId="225" xr:uid="{07132EFF-E55A-4BAE-828A-670906A6AB94}"/>
    <cellStyle name="20% - akcent 3 33 2" xfId="2686" xr:uid="{AA0DA85E-1DAE-44FC-A9A5-D029E0E27DD8}"/>
    <cellStyle name="20% - akcent 3 34" xfId="226" xr:uid="{84D4847B-1983-4155-94DF-1729AC18BFE9}"/>
    <cellStyle name="20% - akcent 3 34 2" xfId="2755" xr:uid="{842FDA3F-DB48-48D0-B15C-816493CEB14F}"/>
    <cellStyle name="20% - akcent 3 35" xfId="227" xr:uid="{85C880B9-68D1-41CB-AD40-A55C75EB1DDC}"/>
    <cellStyle name="20% - akcent 3 35 2" xfId="2960" xr:uid="{549B9E58-4AD7-4717-ADBD-4B5473BAC0E7}"/>
    <cellStyle name="20% - akcent 3 36" xfId="228" xr:uid="{9F28D767-358E-42E5-8500-DFA471EC541C}"/>
    <cellStyle name="20% - akcent 3 36 2" xfId="2984" xr:uid="{BF914573-D450-40B3-A9AF-1185CF1C674B}"/>
    <cellStyle name="20% - akcent 3 37" xfId="229" xr:uid="{C35E394E-9A1A-4A65-9A77-AFFE942C0038}"/>
    <cellStyle name="20% - akcent 3 37 2" xfId="2828" xr:uid="{F48A1369-B0BE-4D1F-BCA9-4534A6C708B5}"/>
    <cellStyle name="20% - akcent 3 38" xfId="230" xr:uid="{4E887D96-0F4F-4B62-9DD2-1AA9E4465DA4}"/>
    <cellStyle name="20% - akcent 3 38 2" xfId="2938" xr:uid="{6F5835FA-7DC0-4F3C-AFEE-38EEBA8CE8A4}"/>
    <cellStyle name="20% - akcent 3 39" xfId="231" xr:uid="{32781B9A-32BB-483D-ABA9-239BAB88C451}"/>
    <cellStyle name="20% - akcent 3 39 2" xfId="2655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87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0" xr:uid="{2CD5235D-D5A5-4B47-ACC8-CB36334DEB13}"/>
    <cellStyle name="20% - akcent 3 41" xfId="237" xr:uid="{D11D923F-5566-47EE-8F01-74F662A2EC33}"/>
    <cellStyle name="20% - akcent 3 41 2" xfId="2958" xr:uid="{5BA8A6A7-0205-4A84-BD51-8778D416CA29}"/>
    <cellStyle name="20% - akcent 3 42" xfId="238" xr:uid="{6C194E3E-5D04-4B07-A31B-08891E3B7521}"/>
    <cellStyle name="20% - akcent 3 42 2" xfId="2921" xr:uid="{9CFCAEE9-82AD-46E8-8B0B-FB8797E7037E}"/>
    <cellStyle name="20% - akcent 3 43" xfId="239" xr:uid="{C16BBD92-D67A-4C2C-887E-18FC603362D0}"/>
    <cellStyle name="20% - akcent 3 43 2" xfId="2662" xr:uid="{58286E9C-F5C2-4F32-A56A-C78CEA5311AA}"/>
    <cellStyle name="20% - akcent 3 44" xfId="240" xr:uid="{A7746CE7-3C2D-4397-89B1-54EAE1B3D9F3}"/>
    <cellStyle name="20% - akcent 3 44 2" xfId="3209" xr:uid="{774B1506-F060-49E5-B9A8-CA5F0F080C02}"/>
    <cellStyle name="20% - akcent 3 45" xfId="241" xr:uid="{4AC52864-FDB2-44DC-85EF-20D722670D95}"/>
    <cellStyle name="20% - akcent 3 45 2" xfId="3244" xr:uid="{2140F3DC-22B6-435C-BE98-B0F179922C80}"/>
    <cellStyle name="20% - akcent 3 46" xfId="242" xr:uid="{A4EA50D4-19BF-4285-A08B-17C3EE1FEFCB}"/>
    <cellStyle name="20% - akcent 3 46 2" xfId="3305" xr:uid="{D7AA70D5-A16F-419D-95C4-2E913F146330}"/>
    <cellStyle name="20% - akcent 3 47" xfId="243" xr:uid="{0EA59E99-C3F9-4EDB-802C-E2AA0067AE68}"/>
    <cellStyle name="20% - akcent 3 47 2" xfId="3296" xr:uid="{AB43CE57-BBE4-462C-87DB-83535F7FCF41}"/>
    <cellStyle name="20% - akcent 3 48" xfId="244" xr:uid="{ECC254E9-5617-415B-A6D2-00A28FA42F40}"/>
    <cellStyle name="20% - akcent 3 48 2" xfId="3284" xr:uid="{B196AD7A-3DA7-46EC-B6D4-3F32596DBBF9}"/>
    <cellStyle name="20% - akcent 3 49" xfId="245" xr:uid="{40FD6384-F933-4008-906A-1150B6753755}"/>
    <cellStyle name="20% - akcent 3 49 2" xfId="3281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33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56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19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09" xr:uid="{3DC7AB09-E835-463D-BE34-B7B38588DB95}"/>
    <cellStyle name="20% - akcent 3 9" xfId="256" xr:uid="{B733714A-F214-460F-9000-BF289AAEDC0B}"/>
    <cellStyle name="20% - akcent 3 9 2" xfId="2590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56" xr:uid="{10C2D65B-7652-4A50-8734-15342A894FB1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IMPORT" xfId="3354" xr:uid="{0172EB4A-E268-40A9-9EC9-63EA84EA67EC}"/>
    <cellStyle name="20% — akcent 3_IMPORT" xfId="3355" xr:uid="{60A2B120-F75E-4F51-A877-9B79F6D0882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IMPORT" xfId="3358" xr:uid="{4E0D3476-18BF-4B6D-A9B2-9CC901A8C2F4}"/>
    <cellStyle name="20% — akcent 3_slownik_1_slownik" xfId="3566" xr:uid="{602E3002-1DFE-4DC0-88EC-835BA7783B94}"/>
    <cellStyle name="20% - akcent 3_slownik_2" xfId="3359" xr:uid="{762C5A79-790D-46A8-840E-8B59F07E57A5}"/>
    <cellStyle name="20% — akcent 3_slownik_2" xfId="3360" xr:uid="{3A7D794E-0F75-41E8-B596-722E0F71B74C}"/>
    <cellStyle name="20% - akcent 3_slownik_3" xfId="3567" xr:uid="{F0C55D64-C569-437F-BE12-4D3E794C4DF6}"/>
    <cellStyle name="20% — akcent 3_slownik_3" xfId="3568" xr:uid="{F14862C8-4B5F-4FB1-BE39-428BCDB53227}"/>
    <cellStyle name="20% - akcent 3_slownik_IMPORT" xfId="3357" xr:uid="{683A4422-6E2D-4A3D-B0D5-E3021F914F58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79" xr:uid="{8024FAF5-628C-4890-A492-F0BB0847688F}"/>
    <cellStyle name="20% - akcent 4 11" xfId="276" xr:uid="{C2CE011D-C632-4CEE-806C-DE282586A02E}"/>
    <cellStyle name="20% - akcent 4 11 2" xfId="3006" xr:uid="{9DC6B468-4B8E-47B5-8285-8AD317D4485F}"/>
    <cellStyle name="20% - akcent 4 12" xfId="277" xr:uid="{1B0BF6D2-80DD-4317-8D2C-A5FB383DFAEA}"/>
    <cellStyle name="20% - akcent 4 12 2" xfId="2817" xr:uid="{113D78B9-58B9-480D-A7D4-FA0C6D078613}"/>
    <cellStyle name="20% - akcent 4 13" xfId="278" xr:uid="{072119A2-0546-49D6-B335-8285498E06D6}"/>
    <cellStyle name="20% - akcent 4 13 2" xfId="2706" xr:uid="{E1B210E1-EC50-451C-829C-D3FA8355D605}"/>
    <cellStyle name="20% - akcent 4 14" xfId="279" xr:uid="{732126D2-2C68-4DB8-A624-61DEB3C826B3}"/>
    <cellStyle name="20% - akcent 4 14 2" xfId="3065" xr:uid="{8BC42B9B-398C-466D-87DA-CB1D4ECDF56C}"/>
    <cellStyle name="20% - akcent 4 15" xfId="280" xr:uid="{BF4D5552-E5CC-441F-8BC8-A7822A9598F2}"/>
    <cellStyle name="20% - akcent 4 15 2" xfId="3024" xr:uid="{55D6A3EA-60C5-41B6-9ABC-318D42FCA1CB}"/>
    <cellStyle name="20% - akcent 4 16" xfId="281" xr:uid="{6D7B44C0-7679-497F-A6B7-7F8339A04B1B}"/>
    <cellStyle name="20% - akcent 4 16 2" xfId="3103" xr:uid="{C76E8CCA-BA07-47D4-9ECD-166586E48083}"/>
    <cellStyle name="20% - akcent 4 17" xfId="282" xr:uid="{01335821-3EF1-4AE3-9E84-717F85B4CC3F}"/>
    <cellStyle name="20% - akcent 4 17 2" xfId="3109" xr:uid="{2E16F8CD-A603-4722-A222-EEE5C11D01F1}"/>
    <cellStyle name="20% - akcent 4 18" xfId="283" xr:uid="{E0D74D28-E7B7-4281-B3EA-934CFC66BD96}"/>
    <cellStyle name="20% - akcent 4 18 2" xfId="3115" xr:uid="{51962DB6-7C89-4822-BC37-74921627DBFD}"/>
    <cellStyle name="20% - akcent 4 19" xfId="284" xr:uid="{D162D1C8-1A84-4E2D-BC4A-29BC536AAD64}"/>
    <cellStyle name="20% - akcent 4 19 2" xfId="3121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44" xr:uid="{89D97B59-1E23-4716-BB05-C72BCFE8978C}"/>
    <cellStyle name="20% - akcent 4 2 2 2" xfId="2462" xr:uid="{39C9CC08-E5AB-4140-99E1-3AD2CA8786E5}"/>
    <cellStyle name="20% - akcent 4 2 3" xfId="288" xr:uid="{C1E02674-CFF9-4209-ADBD-152FA55FC368}"/>
    <cellStyle name="20% - akcent 4 2 3 2" xfId="2436" xr:uid="{369AFDFF-626E-4D30-9DFA-2F3DD1884A56}"/>
    <cellStyle name="20% - akcent 4 2 4" xfId="2259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26" xr:uid="{3DB3BEA8-540F-43E6-8A4A-7933EF532B39}"/>
    <cellStyle name="20% - akcent 4 21" xfId="292" xr:uid="{85A7BC06-D7D9-47F3-AFAC-F314B56CA4FB}"/>
    <cellStyle name="20% - akcent 4 21 2" xfId="3131" xr:uid="{24DC138C-9732-4DBB-92E5-41CF4EE48EC2}"/>
    <cellStyle name="20% - akcent 4 22" xfId="293" xr:uid="{58881A6A-6C29-4DCC-84CF-E60CC05D65E6}"/>
    <cellStyle name="20% - akcent 4 22 2" xfId="3136" xr:uid="{1917B9CF-A231-42A2-9383-29BB905DAB97}"/>
    <cellStyle name="20% - akcent 4 23" xfId="294" xr:uid="{05F294DB-3627-4E55-842F-753C5B16DF64}"/>
    <cellStyle name="20% - akcent 4 23 2" xfId="3141" xr:uid="{99FFE8E6-2823-4C65-86D4-5194CD0DF93B}"/>
    <cellStyle name="20% - akcent 4 24" xfId="295" xr:uid="{BBEC8A87-145B-41CD-8D40-F2C955C15C62}"/>
    <cellStyle name="20% - akcent 4 24 2" xfId="3146" xr:uid="{C11A55F7-C85E-4E25-A459-9E4BCA8F1252}"/>
    <cellStyle name="20% - akcent 4 25" xfId="296" xr:uid="{D3F0AD67-CAEF-4621-B5A6-2DFBED4CEB30}"/>
    <cellStyle name="20% - akcent 4 25 2" xfId="3151" xr:uid="{1A049BAA-3B0D-4550-98D9-E3D7D54443C6}"/>
    <cellStyle name="20% - akcent 4 26" xfId="297" xr:uid="{C81FCC08-2646-4183-B349-F0DB145A3AC0}"/>
    <cellStyle name="20% - akcent 4 26 2" xfId="3156" xr:uid="{6EC913F6-3D6E-475B-B16F-D5FCCBF94C99}"/>
    <cellStyle name="20% - akcent 4 27" xfId="298" xr:uid="{FDCE951B-088C-4563-BA43-8A270AAE2357}"/>
    <cellStyle name="20% - akcent 4 27 2" xfId="3160" xr:uid="{8C07BCE5-E900-4C82-87FC-DAC9D1FB05C9}"/>
    <cellStyle name="20% - akcent 4 28" xfId="299" xr:uid="{4031E877-8EDE-4B39-9550-ECEF9326A653}"/>
    <cellStyle name="20% - akcent 4 28 2" xfId="3163" xr:uid="{5260C2AE-FF02-40B8-82B1-6BAE91A78D8D}"/>
    <cellStyle name="20% - akcent 4 29" xfId="300" xr:uid="{E306CBA5-E9D6-49F2-807E-3A9FD6B29A7D}"/>
    <cellStyle name="20% - akcent 4 29 2" xfId="3166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16" xr:uid="{21516F57-87EE-4DA7-BE9B-BD84F2D6DAD4}"/>
    <cellStyle name="20% - akcent 4 30" xfId="303" xr:uid="{18FD9CC1-4A43-471C-87D2-A4F5963ACC96}"/>
    <cellStyle name="20% - akcent 4 30 2" xfId="3169" xr:uid="{7807BF0D-3FF1-483D-B93F-204A74E53D31}"/>
    <cellStyle name="20% - akcent 4 31" xfId="304" xr:uid="{E070CE7C-A3F4-4E1F-B258-0BF87517B651}"/>
    <cellStyle name="20% - akcent 4 31 2" xfId="3172" xr:uid="{AA8C3D70-CF2F-4951-A0A5-7F7BE272C9E4}"/>
    <cellStyle name="20% - akcent 4 32" xfId="305" xr:uid="{932C4960-EA07-4C20-939A-5AFDDFB56B06}"/>
    <cellStyle name="20% - akcent 4 32 2" xfId="3175" xr:uid="{FED8A35E-ADD4-491F-ACC9-2877690DB2C3}"/>
    <cellStyle name="20% - akcent 4 33" xfId="306" xr:uid="{7C3C3423-AD45-4F24-A7EC-6EA9D2225EE4}"/>
    <cellStyle name="20% - akcent 4 33 2" xfId="3178" xr:uid="{2867D385-9BA1-497F-879B-6109315D8A0C}"/>
    <cellStyle name="20% - akcent 4 34" xfId="307" xr:uid="{9DA08D6A-4B85-4E09-AF3E-084F847FABD8}"/>
    <cellStyle name="20% - akcent 4 34 2" xfId="3181" xr:uid="{B46FEB2B-C484-4581-922A-05D60C8A8CD5}"/>
    <cellStyle name="20% - akcent 4 35" xfId="308" xr:uid="{4BE9E773-3846-48FA-9C8E-2868240E17A6}"/>
    <cellStyle name="20% - akcent 4 35 2" xfId="3184" xr:uid="{773A34D4-95D7-43B2-8997-16C6C58FE17B}"/>
    <cellStyle name="20% - akcent 4 36" xfId="309" xr:uid="{21B3CA01-F937-44B2-918C-BDD65D9A4D69}"/>
    <cellStyle name="20% - akcent 4 36 2" xfId="3186" xr:uid="{D916FA94-4A39-44E7-A782-D48DAFB92A86}"/>
    <cellStyle name="20% - akcent 4 37" xfId="310" xr:uid="{7B914FA0-FC64-4C06-BF95-C4055E62FDC0}"/>
    <cellStyle name="20% - akcent 4 37 2" xfId="3188" xr:uid="{4F96AB4C-218F-4B1C-B6EC-688B5B3AFA39}"/>
    <cellStyle name="20% - akcent 4 38" xfId="311" xr:uid="{B5203733-F99F-4A2F-9AAF-770BB064F463}"/>
    <cellStyle name="20% - akcent 4 38 2" xfId="3190" xr:uid="{CBFD0273-6D75-4C14-BE34-3F72FF4A90D8}"/>
    <cellStyle name="20% - akcent 4 39" xfId="312" xr:uid="{7A82B86A-CA17-4A9F-97BE-1C42FE3C1902}"/>
    <cellStyle name="20% - akcent 4 39 2" xfId="3192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88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194" xr:uid="{70F1F5E4-2515-4E56-B39E-FA729C641E6E}"/>
    <cellStyle name="20% - akcent 4 41" xfId="318" xr:uid="{6E160105-88CF-4680-B55A-166BB5556B30}"/>
    <cellStyle name="20% - akcent 4 41 2" xfId="3196" xr:uid="{7FF81AB1-5441-42CE-B81C-16572DD0597E}"/>
    <cellStyle name="20% - akcent 4 42" xfId="319" xr:uid="{C765843A-0D5D-42EF-B628-290489C76ACE}"/>
    <cellStyle name="20% - akcent 4 42 2" xfId="3198" xr:uid="{A8B948A5-7CB3-4006-B73C-DEF6439B01C3}"/>
    <cellStyle name="20% - akcent 4 43" xfId="320" xr:uid="{8514FB7A-9373-4FB3-80FE-19D26FAFAE6A}"/>
    <cellStyle name="20% - akcent 4 43 2" xfId="3200" xr:uid="{4DEBB391-21D5-449E-B738-7CED97A0E0E5}"/>
    <cellStyle name="20% - akcent 4 44" xfId="321" xr:uid="{ED912CAA-15D7-4620-8130-4C70F9E5C4FE}"/>
    <cellStyle name="20% - akcent 4 44 2" xfId="3210" xr:uid="{B98A5369-2F74-41E5-A27E-B92DF48E9F2E}"/>
    <cellStyle name="20% - akcent 4 45" xfId="322" xr:uid="{BCEB922E-CB0A-4453-B857-E4518D20425E}"/>
    <cellStyle name="20% - akcent 4 45 2" xfId="3260" xr:uid="{D38522E0-4EF5-458F-B3C1-491285CE4784}"/>
    <cellStyle name="20% - akcent 4 46" xfId="323" xr:uid="{9BAD17D6-8242-43AD-9F59-3687A476A131}"/>
    <cellStyle name="20% - akcent 4 46 2" xfId="3253" xr:uid="{BF58838A-8557-4D76-A415-0C24BADF22B2}"/>
    <cellStyle name="20% - akcent 4 47" xfId="324" xr:uid="{DE0C8031-3F6E-4729-A93C-2581A1B26910}"/>
    <cellStyle name="20% - akcent 4 47 2" xfId="3238" xr:uid="{07F972AA-CD30-427D-8648-29C3C9C95C71}"/>
    <cellStyle name="20% - akcent 4 48" xfId="325" xr:uid="{4C1D06C7-E100-47CC-8D74-9372FB2940B4}"/>
    <cellStyle name="20% - akcent 4 48 2" xfId="3231" xr:uid="{BABF7460-9440-4065-B016-D4FE59C76315}"/>
    <cellStyle name="20% - akcent 4 49" xfId="326" xr:uid="{58706048-6F94-4575-87E4-FF930CD6D350}"/>
    <cellStyle name="20% - akcent 4 49 2" xfId="3211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57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58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35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0" xr:uid="{EBC5F3F8-413B-4117-B1C6-CAFFA58FEE8E}"/>
    <cellStyle name="20% - akcent 4 8" xfId="339" xr:uid="{A39084ED-8B78-4F23-B68B-9565E440DDB6}"/>
    <cellStyle name="20% - akcent 4 8 2" xfId="2510" xr:uid="{B2C6C543-3CE5-4DA5-9D9E-9460B8FE7441}"/>
    <cellStyle name="20% - akcent 4 9" xfId="340" xr:uid="{EB6DAAFC-4D9D-48B6-A144-49184BE3FF42}"/>
    <cellStyle name="20% - akcent 4 9 2" xfId="2595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3" xr:uid="{A925F3F5-892C-41CD-BCA7-80774D9CC88B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IMPORT" xfId="3361" xr:uid="{2AF76EAE-B16D-4663-BA6D-9E4263EA2780}"/>
    <cellStyle name="20% — akcent 4_IMPORT" xfId="3362" xr:uid="{1CA0DE0F-BFA9-42E7-8C8C-A8A33B5AAE99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IMPORT" xfId="3365" xr:uid="{11457A9D-A6CA-4A24-A860-2830A80F9011}"/>
    <cellStyle name="20% — akcent 4_slownik_1_slownik" xfId="3569" xr:uid="{E1653B36-EFCC-43E0-A372-BC806FB2163A}"/>
    <cellStyle name="20% - akcent 4_slownik_2" xfId="3366" xr:uid="{C6CC758A-2E9F-447B-A731-2D38E19BBAB2}"/>
    <cellStyle name="20% — akcent 4_slownik_2" xfId="3367" xr:uid="{BB013ED2-2286-4A7D-B507-54A0136F79A8}"/>
    <cellStyle name="20% - akcent 4_slownik_3" xfId="3570" xr:uid="{8030D930-CA74-4E62-AEEA-EE73DE9C204B}"/>
    <cellStyle name="20% — akcent 4_slownik_3" xfId="3571" xr:uid="{8F781309-32FD-4300-BD19-F93E70302CFE}"/>
    <cellStyle name="20% - akcent 4_slownik_IMPORT" xfId="3364" xr:uid="{0819EFB6-584E-45B0-9258-6A4B19566BB4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893" xr:uid="{23F4769F-F445-4DE0-BE3F-3D28CC4E126C}"/>
    <cellStyle name="20% - akcent 5 11" xfId="360" xr:uid="{B2963D3A-8886-49FE-B428-7CAB8D22E13E}"/>
    <cellStyle name="20% - akcent 5 11 2" xfId="2842" xr:uid="{F1DEF737-0550-454C-89FF-E18523F3EDFB}"/>
    <cellStyle name="20% - akcent 5 12" xfId="361" xr:uid="{174E1394-E966-42D5-A9BF-8AF2D9AC3A29}"/>
    <cellStyle name="20% - akcent 5 12 2" xfId="2932" xr:uid="{27FD89D2-E712-4DCA-ABB1-1D9A94713C58}"/>
    <cellStyle name="20% - akcent 5 13" xfId="362" xr:uid="{4F2524C7-E1B4-426B-A770-1ED64340EE72}"/>
    <cellStyle name="20% - akcent 5 13 2" xfId="2836" xr:uid="{5711FF61-FF06-40D8-8196-AE0364B76B8D}"/>
    <cellStyle name="20% - akcent 5 14" xfId="363" xr:uid="{E8E357AE-FEEE-419A-AD7E-1CE7237F3651}"/>
    <cellStyle name="20% - akcent 5 14 2" xfId="2852" xr:uid="{65C19C09-F20E-407F-B1AF-8329540D675C}"/>
    <cellStyle name="20% - akcent 5 15" xfId="364" xr:uid="{8B28887C-2FFF-413C-8649-0295328DB69C}"/>
    <cellStyle name="20% - akcent 5 15 2" xfId="2697" xr:uid="{13D0A17D-E773-4BBF-8AE4-5A4C550CCA14}"/>
    <cellStyle name="20% - akcent 5 16" xfId="365" xr:uid="{F0524216-76BA-4C34-BAEB-2F28E8599CB1}"/>
    <cellStyle name="20% - akcent 5 16 2" xfId="2879" xr:uid="{161F34C3-B719-4125-95B6-426C0868F029}"/>
    <cellStyle name="20% - akcent 5 17" xfId="366" xr:uid="{CB773B84-6DD1-4D40-A46B-026760C4FA70}"/>
    <cellStyle name="20% - akcent 5 17 2" xfId="2930" xr:uid="{F4033292-6BC7-4ACE-867B-B0E86374482D}"/>
    <cellStyle name="20% - akcent 5 18" xfId="367" xr:uid="{206F525C-4E4C-4E42-8779-7FA4038465E2}"/>
    <cellStyle name="20% - akcent 5 18 2" xfId="3050" xr:uid="{80114BD5-BC31-4989-AC25-0C614A62DB70}"/>
    <cellStyle name="20% - akcent 5 19" xfId="368" xr:uid="{D55B28A4-DC9C-4B1C-9FE5-D2ABA1BB0681}"/>
    <cellStyle name="20% - akcent 5 19 2" xfId="3091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1" xr:uid="{1339EB15-F35E-415D-A3F3-5F8D1472E589}"/>
    <cellStyle name="20% — akcent 5 2 2" xfId="2345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34" xr:uid="{A0570540-7B43-4A81-BFEB-CBE7BBAD285E}"/>
    <cellStyle name="20% - akcent 5 21" xfId="374" xr:uid="{CF67B6F5-228F-4B0F-B590-81E184A14D80}"/>
    <cellStyle name="20% - akcent 5 21 2" xfId="3039" xr:uid="{488B9682-A45A-4980-AC4D-E5323CEDF823}"/>
    <cellStyle name="20% - akcent 5 22" xfId="375" xr:uid="{DBCF94E7-A3F7-40B2-BD6E-880923364F84}"/>
    <cellStyle name="20% - akcent 5 22 2" xfId="2810" xr:uid="{F9C857FD-BDA8-4E6A-8495-40F659108AE4}"/>
    <cellStyle name="20% - akcent 5 23" xfId="376" xr:uid="{A1813483-59B1-49A4-882D-ED1BA3087E5E}"/>
    <cellStyle name="20% - akcent 5 23 2" xfId="2707" xr:uid="{7D2DC0CA-1BD7-4DE8-8FF4-3FB4DB073FEA}"/>
    <cellStyle name="20% - akcent 5 24" xfId="377" xr:uid="{AD09651D-2161-4D63-9466-C5596A30B31F}"/>
    <cellStyle name="20% - akcent 5 24 2" xfId="2877" xr:uid="{C9565FAB-EE2D-423E-8C2D-317ADE9CB016}"/>
    <cellStyle name="20% - akcent 5 25" xfId="378" xr:uid="{7288956E-20DA-456C-A0B2-6254F59D8A24}"/>
    <cellStyle name="20% - akcent 5 25 2" xfId="2682" xr:uid="{1089C71D-C50E-4B9D-9D36-EF08622D9D78}"/>
    <cellStyle name="20% - akcent 5 26" xfId="379" xr:uid="{5F732450-29FE-4C62-AE2D-519C5EF94441}"/>
    <cellStyle name="20% - akcent 5 26 2" xfId="2756" xr:uid="{7D55A0AE-666A-4AE8-BD46-359851263A22}"/>
    <cellStyle name="20% - akcent 5 27" xfId="380" xr:uid="{38EAFAE0-9786-4CBF-BE60-A4AA1D16AF41}"/>
    <cellStyle name="20% - akcent 5 27 2" xfId="2868" xr:uid="{11AA893E-495B-4992-926F-47D3FD3C83C3}"/>
    <cellStyle name="20% - akcent 5 28" xfId="381" xr:uid="{C059635D-C413-4DC3-AFE8-4D1055683397}"/>
    <cellStyle name="20% - akcent 5 28 2" xfId="3003" xr:uid="{BADD5ED9-0573-4B91-AD85-C8A13CDF0566}"/>
    <cellStyle name="20% - akcent 5 29" xfId="382" xr:uid="{1559870F-DF0C-4220-82CE-43C786DB9903}"/>
    <cellStyle name="20% - akcent 5 29 2" xfId="2820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17" xr:uid="{1A477AA5-8E54-4477-A2B8-9FB93C3F71BB}"/>
    <cellStyle name="20% - akcent 5 30" xfId="385" xr:uid="{0CA89DFE-94B4-4F69-849F-05183EEDCE7E}"/>
    <cellStyle name="20% - akcent 5 30 2" xfId="2855" xr:uid="{28B8698E-7B62-40C8-9F23-41503759E0B0}"/>
    <cellStyle name="20% - akcent 5 31" xfId="386" xr:uid="{DC18C31E-6213-4FC0-8946-2D5E185511B6}"/>
    <cellStyle name="20% - akcent 5 31 2" xfId="2846" xr:uid="{236A20F2-CF81-412C-A8B2-A0A998011373}"/>
    <cellStyle name="20% - akcent 5 32" xfId="387" xr:uid="{48D55062-10E7-4215-B696-92E1862A6BAA}"/>
    <cellStyle name="20% - akcent 5 32 2" xfId="2700" xr:uid="{9E018A06-2EFC-4010-9CF0-AEFAC51AE3F5}"/>
    <cellStyle name="20% - akcent 5 33" xfId="388" xr:uid="{CDE88B43-624B-4B0D-83EC-A9E899FFDAC4}"/>
    <cellStyle name="20% - akcent 5 33 2" xfId="2991" xr:uid="{91DBC056-08A2-40FB-B252-BF8DF6CB8C6F}"/>
    <cellStyle name="20% - akcent 5 34" xfId="389" xr:uid="{90539308-A5E6-4D0D-AD8D-7FEABDBB257D}"/>
    <cellStyle name="20% - akcent 5 34 2" xfId="3100" xr:uid="{2D951D92-E595-44E2-87E3-5BA759AB8731}"/>
    <cellStyle name="20% - akcent 5 35" xfId="390" xr:uid="{E350984B-9FBE-4B72-A936-D1F5F36639A0}"/>
    <cellStyle name="20% - akcent 5 35 2" xfId="2796" xr:uid="{371C0058-E4BA-4593-A68C-C05B8B4B9A5D}"/>
    <cellStyle name="20% - akcent 5 36" xfId="391" xr:uid="{11DDA435-2163-4C0D-8025-D6AC8BEB345C}"/>
    <cellStyle name="20% - akcent 5 36 2" xfId="2712" xr:uid="{4C1F3F1D-F460-4A4A-B520-70A8A27C0D57}"/>
    <cellStyle name="20% - akcent 5 37" xfId="392" xr:uid="{B8864843-48DD-4F79-A0BE-A77EC99EEEA4}"/>
    <cellStyle name="20% - akcent 5 37 2" xfId="2746" xr:uid="{1322DD87-83A1-4FFE-A171-F863014BAAE1}"/>
    <cellStyle name="20% - akcent 5 38" xfId="393" xr:uid="{37FA9F13-9CD5-4885-9722-49869730DB53}"/>
    <cellStyle name="20% - akcent 5 38 2" xfId="2731" xr:uid="{8063E613-FAF0-4F3B-A17C-BFC3F4F852C6}"/>
    <cellStyle name="20% - akcent 5 39" xfId="394" xr:uid="{3E20A99B-9ADD-4725-8A01-CACE2656370B}"/>
    <cellStyle name="20% - akcent 5 39 2" xfId="2734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89" xr:uid="{2F287277-9630-47B8-9982-535CEE63CBB9}"/>
    <cellStyle name="20% - akcent 5 40" xfId="397" xr:uid="{3523447D-B1FB-4294-BF55-B31F5A42357A}"/>
    <cellStyle name="20% - akcent 5 40 2" xfId="2963" xr:uid="{FA826B62-D13F-404C-B520-B8F586044118}"/>
    <cellStyle name="20% - akcent 5 41" xfId="398" xr:uid="{EFAB3E37-A357-4CC7-9496-CC32397EA04C}"/>
    <cellStyle name="20% - akcent 5 41 2" xfId="2639" xr:uid="{7BB231A5-DCC8-4C20-B5B6-7AC221720590}"/>
    <cellStyle name="20% - akcent 5 42" xfId="399" xr:uid="{16298FB5-B919-4D56-A800-3B99ACC2080C}"/>
    <cellStyle name="20% - akcent 5 42 2" xfId="2763" xr:uid="{F288FD06-6F9E-4179-A8E2-0D073BC851F7}"/>
    <cellStyle name="20% - akcent 5 43" xfId="400" xr:uid="{D4356792-EC1E-4E23-AB84-9B701E2B200C}"/>
    <cellStyle name="20% - akcent 5 43 2" xfId="2724" xr:uid="{FE530CBE-612C-4F1E-9BFE-88522F952E48}"/>
    <cellStyle name="20% - akcent 5 44" xfId="401" xr:uid="{CE0D306F-1618-4A87-B2E9-2F50AF49CED0}"/>
    <cellStyle name="20% - akcent 5 44 2" xfId="3212" xr:uid="{6B148850-EB34-49C5-A474-A107C800A8D8}"/>
    <cellStyle name="20% - akcent 5 45" xfId="402" xr:uid="{C9E85917-33CD-4F12-B5B5-2B462B422A49}"/>
    <cellStyle name="20% - akcent 5 45 2" xfId="3271" xr:uid="{64774B61-8201-4D8A-B7A9-CF350D824684}"/>
    <cellStyle name="20% - akcent 5 46" xfId="403" xr:uid="{29F97CDC-7CFF-4176-8604-A8713F20B80D}"/>
    <cellStyle name="20% - akcent 5 46 2" xfId="3289" xr:uid="{5FF4C7A9-868F-4EC8-A14A-A6CE8E52CEB0}"/>
    <cellStyle name="20% - akcent 5 47" xfId="404" xr:uid="{555F780D-F007-4FA9-AF4A-BDD827BE6BEB}"/>
    <cellStyle name="20% - akcent 5 47 2" xfId="3294" xr:uid="{AF2F9799-C648-43A2-A176-4A7DA3E72AAE}"/>
    <cellStyle name="20% - akcent 5 48" xfId="405" xr:uid="{1B763E59-91D5-422C-AA5F-5CDEAA44663E}"/>
    <cellStyle name="20% - akcent 5 48 2" xfId="3273" xr:uid="{30560BD0-04A6-4196-8709-DC892917520D}"/>
    <cellStyle name="20% - akcent 5 49" xfId="406" xr:uid="{BAC0EB2A-D051-4E59-891D-276DE6FCA867}"/>
    <cellStyle name="20% - akcent 5 49 2" xfId="3282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37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0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1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1" xr:uid="{17025E9E-5023-4F95-8FCA-39F8F6E78E3C}"/>
    <cellStyle name="20% - akcent 5 9" xfId="415" xr:uid="{80395950-4C66-4BDF-82E6-0317386CD9F8}"/>
    <cellStyle name="20% - akcent 5 9 2" xfId="2603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0" xr:uid="{F9B8C67E-FD4E-4F32-B090-153D61463A1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IMPORT" xfId="3368" xr:uid="{85AF2A61-6E24-4284-B5FB-2A9BBDF92442}"/>
    <cellStyle name="20% — akcent 5_IMPORT" xfId="3369" xr:uid="{F9331147-DF87-40ED-BDDD-CB6A8531144D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IMPORT" xfId="3373" xr:uid="{EEB32AF9-53AE-4458-9F67-E541C594E563}"/>
    <cellStyle name="20% — akcent 5_slownik_1_IMPORT" xfId="3374" xr:uid="{E83D8F0F-D77D-4195-8E70-831FEF4A4DB7}"/>
    <cellStyle name="20% - akcent 5_slownik_1_slownik" xfId="3572" xr:uid="{DE2DFD31-9DF1-46BB-AC4C-340C24BA928F}"/>
    <cellStyle name="20% — akcent 5_slownik_1_slownik" xfId="3573" xr:uid="{3997DA95-7D11-4302-BC0E-8E5F8AB4F619}"/>
    <cellStyle name="20% - akcent 5_slownik_2" xfId="3375" xr:uid="{A327E366-452F-4EF5-9007-37AF6C018C21}"/>
    <cellStyle name="20% — akcent 5_slownik_2" xfId="3376" xr:uid="{B19F3A9D-20B9-4C8D-8A10-F321422B39C8}"/>
    <cellStyle name="20% - akcent 5_slownik_3" xfId="3574" xr:uid="{ADFF1701-1EE0-403C-BA44-6FF1284AF15B}"/>
    <cellStyle name="20% — akcent 5_slownik_3" xfId="3575" xr:uid="{A3EE2BAC-0ABB-4EB3-99DA-B1D1B9CBEC96}"/>
    <cellStyle name="20% - akcent 5_slownik_IMPORT" xfId="3371" xr:uid="{4F1FC1DB-2C71-4CBB-BD6B-6FFB7C89C291}"/>
    <cellStyle name="20% — akcent 5_slownik_IMPORT" xfId="3372" xr:uid="{C09432B5-585D-49C6-8018-540F41D09DC4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1" xr:uid="{B5FE19AA-B8C4-4F23-AF00-E5A4ACFF6585}"/>
    <cellStyle name="20% - akcent 6 11" xfId="435" xr:uid="{30B09BF7-02ED-4C13-AAA7-C48978D68EB4}"/>
    <cellStyle name="20% - akcent 6 11 2" xfId="3002" xr:uid="{8D3AF685-01FC-41E7-81DD-D1E84EAC7300}"/>
    <cellStyle name="20% - akcent 6 12" xfId="436" xr:uid="{36D7164E-C5A3-4BCC-9963-49F114278733}"/>
    <cellStyle name="20% - akcent 6 12 2" xfId="2821" xr:uid="{8D4F6F90-F1F6-42C0-85B0-F00AC4C416EE}"/>
    <cellStyle name="20% - akcent 6 13" xfId="437" xr:uid="{B8E3528A-32B8-4512-B85E-518FCC8FE763}"/>
    <cellStyle name="20% - akcent 6 13 2" xfId="2705" xr:uid="{D427A0A2-596B-4DB9-BD29-B5B767E93AE1}"/>
    <cellStyle name="20% - akcent 6 14" xfId="438" xr:uid="{3381586B-5074-44E4-BBEE-003DD54AA88E}"/>
    <cellStyle name="20% - akcent 6 14 2" xfId="2967" xr:uid="{88C6103B-E738-4919-98F2-89E852EA7757}"/>
    <cellStyle name="20% - akcent 6 15" xfId="439" xr:uid="{C97B2A75-FFCB-4018-896E-9782DD10943D}"/>
    <cellStyle name="20% - akcent 6 15 2" xfId="2831" xr:uid="{78B9B1A3-3E6C-449D-8588-DAF511797BC4}"/>
    <cellStyle name="20% - akcent 6 16" xfId="440" xr:uid="{47ECA51F-6AA5-4565-BC43-5CA0ABC7AC00}"/>
    <cellStyle name="20% - akcent 6 16 2" xfId="2853" xr:uid="{91CBD1A2-1888-4767-8541-D11C8394F8CA}"/>
    <cellStyle name="20% - akcent 6 17" xfId="441" xr:uid="{E664F7DB-929F-4F8A-ADE5-152E380C64E8}"/>
    <cellStyle name="20% - akcent 6 17 2" xfId="2696" xr:uid="{E83752FB-E8C0-4CD3-9BE1-0B8F590A8C4E}"/>
    <cellStyle name="20% - akcent 6 18" xfId="442" xr:uid="{C4177D54-3138-4016-9A29-098DBB10A6B8}"/>
    <cellStyle name="20% - akcent 6 18 2" xfId="2880" xr:uid="{A1731862-7845-4B91-B0BC-A3026F4B1DFD}"/>
    <cellStyle name="20% - akcent 6 19" xfId="443" xr:uid="{74551CD2-C2CC-41AC-BAF1-9E3D7F8602E9}"/>
    <cellStyle name="20% - akcent 6 19 2" xfId="3031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46" xr:uid="{8CE3FA17-5597-41EC-ACBF-98AACC09DCEF}"/>
    <cellStyle name="20% - akcent 6 2 2 2" xfId="2463" xr:uid="{D2A7FE13-5114-47AD-932E-A53E4711B626}"/>
    <cellStyle name="20% - akcent 6 2 3" xfId="447" xr:uid="{D4232F24-580D-4A40-BF53-68335439CAA6}"/>
    <cellStyle name="20% - akcent 6 2 3 2" xfId="2439" xr:uid="{BCD69403-ED57-42E7-9CAF-96F6CE7012AF}"/>
    <cellStyle name="20% - akcent 6 2 4" xfId="2263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08" xr:uid="{2DF3D031-3250-4C6A-A62B-E4425B2D6F4C}"/>
    <cellStyle name="20% - akcent 6 21" xfId="451" xr:uid="{8A6681FC-FFA8-48A3-AC80-42D9D8EEC269}"/>
    <cellStyle name="20% - akcent 6 21 2" xfId="3072" xr:uid="{6E1CB196-9BE5-441D-914C-0A0662619DD6}"/>
    <cellStyle name="20% - akcent 6 22" xfId="452" xr:uid="{A33302EA-2C93-4557-A150-C797C72079F1}"/>
    <cellStyle name="20% - akcent 6 22 2" xfId="2587" xr:uid="{C133A948-8C8E-4ACC-B2FA-F8A4A5133F3C}"/>
    <cellStyle name="20% - akcent 6 23" xfId="453" xr:uid="{F806AD55-53F9-4A5E-8126-5F652231AF64}"/>
    <cellStyle name="20% - akcent 6 23 2" xfId="2784" xr:uid="{F5D24628-F6E1-49CB-8943-09EBE825E7CD}"/>
    <cellStyle name="20% - akcent 6 24" xfId="454" xr:uid="{C9D6E0ED-9777-4EF4-9347-71FDF634AEFE}"/>
    <cellStyle name="20% - akcent 6 24 2" xfId="2862" xr:uid="{2CCE1CAD-C8B8-4BE1-B8C0-F0C6406FCD3B}"/>
    <cellStyle name="20% - akcent 6 25" xfId="455" xr:uid="{0D1EF3F8-0033-47C4-A3FD-4890C8F5B29D}"/>
    <cellStyle name="20% - akcent 6 25 2" xfId="2688" xr:uid="{9D4349AD-097A-422B-8ECE-8C225EC1E9C3}"/>
    <cellStyle name="20% - akcent 6 26" xfId="456" xr:uid="{479E8141-A7CE-426E-BA06-6ED73E7FCD16}"/>
    <cellStyle name="20% - akcent 6 26 2" xfId="3016" xr:uid="{661A3417-DAB1-4DD8-8053-377F51F3017B}"/>
    <cellStyle name="20% - akcent 6 27" xfId="457" xr:uid="{ED34D253-D84D-4146-BB22-0BC578F8EA5B}"/>
    <cellStyle name="20% - akcent 6 27 2" xfId="2616" xr:uid="{7F3E48D1-F3D9-4924-BE61-B151A81546E9}"/>
    <cellStyle name="20% - akcent 6 28" xfId="458" xr:uid="{FE0547E6-3804-4F5C-8D2F-1397D90DF63C}"/>
    <cellStyle name="20% - akcent 6 28 2" xfId="2890" xr:uid="{21EBA962-B9EE-45A9-8A73-1DA0EEA23B27}"/>
    <cellStyle name="20% - akcent 6 29" xfId="459" xr:uid="{E5FDDDF8-4476-4396-9109-C6B9505D2F20}"/>
    <cellStyle name="20% - akcent 6 29 2" xfId="3030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18" xr:uid="{9E88FEF3-39C7-4109-96BB-A19FE444DBC6}"/>
    <cellStyle name="20% - akcent 6 30" xfId="462" xr:uid="{1FB0A444-B711-4DBD-986C-530DAAF10A20}"/>
    <cellStyle name="20% - akcent 6 30 2" xfId="2609" xr:uid="{30CDCC4F-E1BD-421B-8ACB-DD3515BE5AD5}"/>
    <cellStyle name="20% - akcent 6 31" xfId="463" xr:uid="{D2AADEB9-822B-42F4-B53E-1041EA38E7E7}"/>
    <cellStyle name="20% - akcent 6 31 2" xfId="2892" xr:uid="{77C95350-93EA-41FA-B9CA-B2C6BB06A9BD}"/>
    <cellStyle name="20% - akcent 6 32" xfId="464" xr:uid="{7667EA80-2E47-4CDF-A541-EBFC10098096}"/>
    <cellStyle name="20% - akcent 6 32 2" xfId="3052" xr:uid="{A366D06E-DA57-4310-A710-2F4C615A2B55}"/>
    <cellStyle name="20% - akcent 6 33" xfId="465" xr:uid="{8D6AC0A2-6799-48E3-9BE4-BBB6D89E30C2}"/>
    <cellStyle name="20% - akcent 6 33 2" xfId="2807" xr:uid="{4152BF8A-CA28-4EA2-BA0D-D86E69698E2B}"/>
    <cellStyle name="20% - akcent 6 34" xfId="466" xr:uid="{AC700040-CE4B-4616-B645-B499C636D61E}"/>
    <cellStyle name="20% - akcent 6 34 2" xfId="3059" xr:uid="{ECC3413A-67B0-4037-96BA-541B59D58BB7}"/>
    <cellStyle name="20% - akcent 6 35" xfId="467" xr:uid="{7AD495B2-8F01-4801-944C-7E8B4C7A451B}"/>
    <cellStyle name="20% - akcent 6 35 2" xfId="2910" xr:uid="{72B593DA-9C18-4BDA-9BE2-F8087939A57D}"/>
    <cellStyle name="20% - akcent 6 36" xfId="468" xr:uid="{EE8CFB69-A6CC-4F67-9E00-60B36E559095}"/>
    <cellStyle name="20% - akcent 6 36 2" xfId="2985" xr:uid="{DA43AEEC-CD76-4A7D-AEBE-2A574B0B5A96}"/>
    <cellStyle name="20% - akcent 6 37" xfId="469" xr:uid="{44535CE6-1BEA-4BF2-AD8E-144320C5CAA9}"/>
    <cellStyle name="20% - akcent 6 37 2" xfId="2627" xr:uid="{A1566427-37F2-46BF-8BA4-DC8E883DB83E}"/>
    <cellStyle name="20% - akcent 6 38" xfId="470" xr:uid="{95E2C62A-2531-45B9-915A-2AF2C4A33F59}"/>
    <cellStyle name="20% - akcent 6 38 2" xfId="2888" xr:uid="{410D4154-3128-49EB-9007-BA1892C3215A}"/>
    <cellStyle name="20% - akcent 6 39" xfId="471" xr:uid="{84A35F97-1FB6-4241-A7AC-8C86D9589B5D}"/>
    <cellStyle name="20% - akcent 6 39 2" xfId="2675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0" xr:uid="{BC8FFF59-B77C-4271-8651-BC219D9D97DE}"/>
    <cellStyle name="20% - akcent 6 40" xfId="474" xr:uid="{847C1CD8-0BE8-4985-9968-CE628D9EB5FF}"/>
    <cellStyle name="20% - akcent 6 40 2" xfId="3023" xr:uid="{2CB29FB8-D3FA-4CD0-B2A2-CAFFA249B840}"/>
    <cellStyle name="20% - akcent 6 41" xfId="475" xr:uid="{BB1A6F0F-B1E8-40A0-BD15-819BEF840C0A}"/>
    <cellStyle name="20% - akcent 6 41 2" xfId="3041" xr:uid="{9D343C4A-8C2D-4882-9AE7-AFCBF7B287B2}"/>
    <cellStyle name="20% - akcent 6 42" xfId="476" xr:uid="{E4C3B696-F241-4B3E-9D72-041C06152DA6}"/>
    <cellStyle name="20% - akcent 6 42 2" xfId="2604" xr:uid="{6BA19E8B-EA49-4C8A-B788-62EB2146382B}"/>
    <cellStyle name="20% - akcent 6 43" xfId="477" xr:uid="{08F935BA-2227-4AEA-AB0D-A24A6BB5F8A0}"/>
    <cellStyle name="20% - akcent 6 43 2" xfId="2777" xr:uid="{309E58A2-F7D8-45B7-8234-D4312AFF4D0F}"/>
    <cellStyle name="20% - akcent 6 44" xfId="478" xr:uid="{94AF13D0-4B76-40D7-9BFD-34DC7EBDBDD1}"/>
    <cellStyle name="20% - akcent 6 44 2" xfId="3213" xr:uid="{03EC0444-E50C-4EA5-8E40-E454839F9781}"/>
    <cellStyle name="20% - akcent 6 45" xfId="479" xr:uid="{41B2442A-ADE2-42E8-8718-BF01FEA6B155}"/>
    <cellStyle name="20% - akcent 6 45 2" xfId="3242" xr:uid="{1E963C2B-6790-4A67-8C42-7D0BDA1B96E4}"/>
    <cellStyle name="20% - akcent 6 46" xfId="480" xr:uid="{0C6818D1-EE1A-46C3-9414-27F3326DCD27}"/>
    <cellStyle name="20% - akcent 6 46 2" xfId="3222" xr:uid="{40BD23E0-137B-46CE-9ADA-C5ADF5781AAA}"/>
    <cellStyle name="20% - akcent 6 47" xfId="481" xr:uid="{97474D47-2FC8-4FF2-8941-784129DEC583}"/>
    <cellStyle name="20% - akcent 6 47 2" xfId="3243" xr:uid="{99F31234-70B1-486E-B703-8671A67DF231}"/>
    <cellStyle name="20% - akcent 6 48" xfId="482" xr:uid="{BB84F6CB-0FE4-4641-A850-46947B12BDB2}"/>
    <cellStyle name="20% - akcent 6 48 2" xfId="3276" xr:uid="{C198BC07-7D9B-463D-9495-FBC2BB162D5F}"/>
    <cellStyle name="20% - akcent 6 49" xfId="483" xr:uid="{45540211-2A1A-4882-AE3A-0B0DE2B833B9}"/>
    <cellStyle name="20% - akcent 6 49 2" xfId="3256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38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62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22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12" xr:uid="{7629CE66-3E09-4A40-A28A-CC3384F3B061}"/>
    <cellStyle name="20% - akcent 6 9" xfId="492" xr:uid="{7B480100-7B97-4596-B4D3-4661CEE3D082}"/>
    <cellStyle name="20% - akcent 6 9 2" xfId="2611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79" xr:uid="{E05433FA-A60F-4388-A9DD-4D7E74198717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IMPORT" xfId="3377" xr:uid="{46FDF907-09C9-4F25-BF2A-A2472CC31869}"/>
    <cellStyle name="20% — akcent 6_IMPORT" xfId="3378" xr:uid="{27C5F446-5D10-4E86-A8D4-622A32D4D52F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IMPORT" xfId="3381" xr:uid="{2F6C5FF6-6787-4910-A757-6073BE93BA50}"/>
    <cellStyle name="20% — akcent 6_slownik_1_slownik" xfId="3576" xr:uid="{2233D57D-0048-4449-BFDE-1548BB556924}"/>
    <cellStyle name="20% - akcent 6_slownik_2" xfId="3382" xr:uid="{17224850-1483-4257-937C-C80943ABBF21}"/>
    <cellStyle name="20% — akcent 6_slownik_2" xfId="3383" xr:uid="{F1F95740-72AE-4492-B007-4607A93F9379}"/>
    <cellStyle name="20% - akcent 6_slownik_3" xfId="3577" xr:uid="{3EF0DDA5-1A82-43EB-82AB-16E440F1E547}"/>
    <cellStyle name="20% — akcent 6_slownik_3" xfId="3578" xr:uid="{B01A2740-31F1-45F1-88BE-E80FD1640A8A}"/>
    <cellStyle name="20% - akcent 6_slownik_IMPORT" xfId="3380" xr:uid="{B98E567F-1FA0-46D5-B49B-B52A891C59FB}"/>
    <cellStyle name="40 % - Akzent1" xfId="509" xr:uid="{0A438ABA-914A-465A-871C-DF5E93223B09}"/>
    <cellStyle name="40 % - Akzent1 2" xfId="2264" xr:uid="{24F63B58-81C3-44F5-8AFC-012C8377535F}"/>
    <cellStyle name="40 % - Akzent1_IMPORT" xfId="3384" xr:uid="{A746EB6B-FD28-4447-AFAB-C0B758B2C5DE}"/>
    <cellStyle name="40 % - Akzent2" xfId="510" xr:uid="{E6FB907A-7CB2-4F4A-82ED-EF85432D20E6}"/>
    <cellStyle name="40 % - Akzent2 2" xfId="2265" xr:uid="{70846131-D551-4BCC-B3DA-76E4395D9D8D}"/>
    <cellStyle name="40 % - Akzent2_IMPORT" xfId="3385" xr:uid="{87D78B91-8150-49D9-ADC3-4E09ECBD223F}"/>
    <cellStyle name="40 % - Akzent3" xfId="511" xr:uid="{FA358A98-BE23-4219-BC23-49872D5F46C9}"/>
    <cellStyle name="40 % - Akzent3 2" xfId="2266" xr:uid="{8F1003A3-4826-408F-A9CC-C4F27C0B9335}"/>
    <cellStyle name="40 % - Akzent3_IMPORT" xfId="3386" xr:uid="{F8745CB3-F6D2-4009-AB1C-B708EC30C4C0}"/>
    <cellStyle name="40 % - Akzent4" xfId="512" xr:uid="{96DA50BB-3221-4605-B9CA-45E31C7B4128}"/>
    <cellStyle name="40 % - Akzent4 2" xfId="2267" xr:uid="{E5D23529-C9AA-4636-9309-8C74F8FC0AE7}"/>
    <cellStyle name="40 % - Akzent4_IMPORT" xfId="3387" xr:uid="{6853E0E6-A547-4D28-8A5B-00589C2DF8FF}"/>
    <cellStyle name="40 % - Akzent5" xfId="513" xr:uid="{F45B2456-5FF9-4EE8-A8A7-0C7F93B5A25D}"/>
    <cellStyle name="40 % - Akzent5 2" xfId="2268" xr:uid="{7B79AB31-1294-4AC0-9A69-3159290313D7}"/>
    <cellStyle name="40 % - Akzent5_IMPORT" xfId="3388" xr:uid="{C6A54916-A655-46B9-A0C9-FB7B773EDB9B}"/>
    <cellStyle name="40 % - Akzent6" xfId="514" xr:uid="{108EE502-4579-43DB-96E3-CEFE6D398883}"/>
    <cellStyle name="40 % - Akzent6 2" xfId="2269" xr:uid="{4E262382-3DE5-47B4-9013-A75B9DDF374E}"/>
    <cellStyle name="40 % - Akzent6_IMPORT" xfId="3389" xr:uid="{1ADD6CC0-BEA4-46B1-A159-6577B02FB299}"/>
    <cellStyle name="40% - Accent1" xfId="515" xr:uid="{98CDAEA2-DB24-4A16-8C70-907BF6F5E89A}"/>
    <cellStyle name="40% - Accent1 2" xfId="516" xr:uid="{9B79E3E9-C937-4731-82B5-446170AEB7F4}"/>
    <cellStyle name="40% - Accent1 2 2" xfId="2348" xr:uid="{4F04B80E-D169-43D4-B760-8C859BF2DE4E}"/>
    <cellStyle name="40% - Accent1 3" xfId="2347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0" xr:uid="{A2E1F4F1-FFE6-4D77-9819-B26B8FDCA1FA}"/>
    <cellStyle name="40% - Accent2 3" xfId="2349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52" xr:uid="{E90FF0A8-536B-4DA2-B1DB-92D5C1D638E3}"/>
    <cellStyle name="40% - Accent3 3" xfId="2351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54" xr:uid="{B1F7AF3C-BB67-4933-B70A-0EE86A2CCB23}"/>
    <cellStyle name="40% - Accent4 3" xfId="2353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56" xr:uid="{28D3FF6C-19F3-4F08-9DF2-02B28AED2667}"/>
    <cellStyle name="40% - Accent5 3" xfId="2355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58" xr:uid="{86204EE6-48AC-4AA6-9943-E020A0B62DED}"/>
    <cellStyle name="40% - Accent6 3" xfId="2357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1" xr:uid="{38FFE202-E846-4B86-A0D8-46EB6F6F87A4}"/>
    <cellStyle name="40% - akcent 1 11" xfId="536" xr:uid="{D9476233-C77C-4E7C-A3D7-F70D8413C126}"/>
    <cellStyle name="40% - akcent 1 11 2" xfId="2830" xr:uid="{0A62AB2D-803A-4B0F-A735-E947E5D504F7}"/>
    <cellStyle name="40% - akcent 1 12" xfId="537" xr:uid="{85567279-FA94-4CA7-9E1F-BA0C8237544F}"/>
    <cellStyle name="40% - akcent 1 12 2" xfId="3057" xr:uid="{4628E41B-8590-4F6F-AB04-543E6D7C4470}"/>
    <cellStyle name="40% - akcent 1 13" xfId="538" xr:uid="{95AC9060-4DDA-43FA-939C-D450153152C2}"/>
    <cellStyle name="40% - akcent 1 13 2" xfId="2912" xr:uid="{6826928B-088B-4BBA-88B6-F613E718EFA4}"/>
    <cellStyle name="40% - akcent 1 14" xfId="539" xr:uid="{F0469452-BF13-4E71-85B3-458185CF0BBC}"/>
    <cellStyle name="40% - akcent 1 14 2" xfId="3001" xr:uid="{AB3338C7-026E-4564-B0B6-D1D086643F02}"/>
    <cellStyle name="40% - akcent 1 15" xfId="540" xr:uid="{2EB3807C-2051-455F-9443-986A13FDB31E}"/>
    <cellStyle name="40% - akcent 1 15 2" xfId="2822" xr:uid="{9D5241FB-681D-4AAC-BBD2-1EAC69B6EE40}"/>
    <cellStyle name="40% - akcent 1 16" xfId="541" xr:uid="{38667CCC-CBD4-4CC2-9A53-FCB6AB07CDA4}"/>
    <cellStyle name="40% - akcent 1 16 2" xfId="2854" xr:uid="{8CDA8ECC-01B4-42E4-B2CB-1F11E34BC53E}"/>
    <cellStyle name="40% - akcent 1 17" xfId="542" xr:uid="{B66610B2-5C86-4BEB-9529-1656DEEF939D}"/>
    <cellStyle name="40% - akcent 1 17 2" xfId="2695" xr:uid="{0E180919-BD01-4C77-88FD-E0019B3729A5}"/>
    <cellStyle name="40% - akcent 1 18" xfId="543" xr:uid="{893B280D-26B1-4F9B-ABB8-BAA574ADC699}"/>
    <cellStyle name="40% - akcent 1 18 2" xfId="3015" xr:uid="{F6889F20-A7A0-4873-8407-1F0802EAE9F4}"/>
    <cellStyle name="40% - akcent 1 19" xfId="544" xr:uid="{53086B69-E72A-4546-85FA-0E96528D20ED}"/>
    <cellStyle name="40% - akcent 1 19 2" xfId="2617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59" xr:uid="{66A2BAEE-04CE-4988-B0AB-31142D685EA0}"/>
    <cellStyle name="40% - akcent 1 2 2 2" xfId="2464" xr:uid="{9E131CFF-E829-49C4-AB05-1B903C6EBBCD}"/>
    <cellStyle name="40% - akcent 1 2 3" xfId="548" xr:uid="{1427E0FF-DC31-404C-BA7B-A34158E1C498}"/>
    <cellStyle name="40% - akcent 1 2 3 2" xfId="2441" xr:uid="{60DBA539-131D-4EEA-9CAD-738E4B6ED230}"/>
    <cellStyle name="40% - akcent 1 2 4" xfId="2271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1" xr:uid="{056EFE76-CEDF-41BD-92C1-23CFD323F86F}"/>
    <cellStyle name="40% - akcent 1 21" xfId="552" xr:uid="{12465967-C619-4CA3-B9FB-43421CF5658F}"/>
    <cellStyle name="40% - akcent 1 21 2" xfId="2720" xr:uid="{C57EE430-C65A-4652-99C6-E9786E6A18D8}"/>
    <cellStyle name="40% - akcent 1 22" xfId="553" xr:uid="{068CFD02-3816-43F4-91CB-1DE121224717}"/>
    <cellStyle name="40% - akcent 1 22 2" xfId="2742" xr:uid="{EB585762-1721-43A0-A0FF-27F3CD0A8F78}"/>
    <cellStyle name="40% - akcent 1 23" xfId="554" xr:uid="{A06BDFEB-DCCD-49BD-A219-273595EB4FEE}"/>
    <cellStyle name="40% - akcent 1 23 2" xfId="2869" xr:uid="{BE075F04-E7F1-4AD9-B91C-473559C117AE}"/>
    <cellStyle name="40% - akcent 1 24" xfId="555" xr:uid="{2C116CC9-D355-4C82-9E00-07E8EDEB73F5}"/>
    <cellStyle name="40% - akcent 1 24 2" xfId="2986" xr:uid="{D4BF62DA-221C-4A9E-AC8E-14D275C85BEC}"/>
    <cellStyle name="40% - akcent 1 25" xfId="556" xr:uid="{9A0CD668-2CC7-48D9-9C4D-D5F14E1815F5}"/>
    <cellStyle name="40% - akcent 1 25 2" xfId="2918" xr:uid="{961BE28A-AC7A-4BB8-9805-92D5FBFE5EAA}"/>
    <cellStyle name="40% - akcent 1 26" xfId="557" xr:uid="{CD11329D-C7C1-41F3-85FF-94E65A089CCA}"/>
    <cellStyle name="40% - akcent 1 26 2" xfId="2999" xr:uid="{88E672F7-77CB-442B-9E47-28E766001F44}"/>
    <cellStyle name="40% - akcent 1 27" xfId="558" xr:uid="{099B7A44-E3F4-40DB-839C-71424C190088}"/>
    <cellStyle name="40% - akcent 1 27 2" xfId="2623" xr:uid="{73CE60C6-62A6-4385-A8DE-7E69A029D865}"/>
    <cellStyle name="40% - akcent 1 28" xfId="559" xr:uid="{38CC531B-A94C-4E48-9B4F-5A72DE609A41}"/>
    <cellStyle name="40% - akcent 1 28 2" xfId="2889" xr:uid="{076E5963-F8AD-4E5B-8330-8B57400AB397}"/>
    <cellStyle name="40% - akcent 1 29" xfId="560" xr:uid="{FBA68620-11BA-40F2-A02B-8EDE56C3D025}"/>
    <cellStyle name="40% - akcent 1 29 2" xfId="3094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19" xr:uid="{EF62EE5C-3E38-47A5-BF95-EE88987DAA66}"/>
    <cellStyle name="40% - akcent 1 30" xfId="563" xr:uid="{2810F30B-FF45-4A9D-9B1A-9A51CB58842B}"/>
    <cellStyle name="40% - akcent 1 30 2" xfId="2581" xr:uid="{3680DB69-4326-4CF5-A158-BA49CB513F3A}"/>
    <cellStyle name="40% - akcent 1 31" xfId="564" xr:uid="{A39225E3-3C0C-4962-B6F5-EB9B32EEB082}"/>
    <cellStyle name="40% - akcent 1 31 2" xfId="3080" xr:uid="{B791E1A4-C029-42CE-A9EB-8EAD1A5A3B7C}"/>
    <cellStyle name="40% - akcent 1 32" xfId="565" xr:uid="{D2087315-787A-4277-A9D4-EE458640298E}"/>
    <cellStyle name="40% - akcent 1 32 2" xfId="2904" xr:uid="{7C5284A7-89BB-4FE5-85D3-34AA732CBAE5}"/>
    <cellStyle name="40% - akcent 1 33" xfId="566" xr:uid="{CFEDD3A2-8988-4B13-B6BA-2289CD124154}"/>
    <cellStyle name="40% - akcent 1 33 2" xfId="3108" xr:uid="{4337D96F-131A-4846-AF3E-1753C23250F4}"/>
    <cellStyle name="40% - akcent 1 34" xfId="567" xr:uid="{F5EDFFDD-3C56-4832-9C6B-6D7D06F39B9B}"/>
    <cellStyle name="40% - akcent 1 34 2" xfId="3114" xr:uid="{AF407275-B6BC-4A12-A309-00CDDBBE45B9}"/>
    <cellStyle name="40% - akcent 1 35" xfId="568" xr:uid="{624318A2-E472-4881-950B-7E8F0B668F81}"/>
    <cellStyle name="40% - akcent 1 35 2" xfId="3120" xr:uid="{760BF769-FF3F-43A7-85E9-00D0373EF2B6}"/>
    <cellStyle name="40% - akcent 1 36" xfId="569" xr:uid="{16E65629-B404-4AD3-B2A9-D9801C37CEDF}"/>
    <cellStyle name="40% - akcent 1 36 2" xfId="3125" xr:uid="{784C6478-EB35-475F-BCCB-895C423ED5AD}"/>
    <cellStyle name="40% - akcent 1 37" xfId="570" xr:uid="{02C8EFF5-7209-4DAB-91C4-D00EA87A9FA5}"/>
    <cellStyle name="40% - akcent 1 37 2" xfId="3130" xr:uid="{C8AAC111-D5D9-4C35-A19F-5DADF15B8C3A}"/>
    <cellStyle name="40% - akcent 1 38" xfId="571" xr:uid="{003B4F10-4191-4670-B5EC-B9C33F1B05D4}"/>
    <cellStyle name="40% - akcent 1 38 2" xfId="3135" xr:uid="{6C6A3BB9-DC6F-4E34-841F-AE6B88E9A9C4}"/>
    <cellStyle name="40% - akcent 1 39" xfId="572" xr:uid="{5342BA6C-4873-4303-A583-BB1C92C3856A}"/>
    <cellStyle name="40% - akcent 1 39 2" xfId="3140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1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45" xr:uid="{0C9A6115-E8F9-4805-B991-5E6E5C6479CF}"/>
    <cellStyle name="40% - akcent 1 41" xfId="578" xr:uid="{7336FB36-3C47-4293-8C24-3C4DD26F59B1}"/>
    <cellStyle name="40% - akcent 1 41 2" xfId="3150" xr:uid="{157CA273-B054-4031-B0BE-25E333A444B3}"/>
    <cellStyle name="40% - akcent 1 42" xfId="579" xr:uid="{EB97965D-BC4B-4C6F-A7F7-326EABA0C67D}"/>
    <cellStyle name="40% - akcent 1 42 2" xfId="3155" xr:uid="{2E176B7A-1A06-4710-BD41-FA4CD5E351E7}"/>
    <cellStyle name="40% - akcent 1 43" xfId="580" xr:uid="{C1F3FFC1-7286-4D7C-B2BE-F7854F4B4923}"/>
    <cellStyle name="40% - akcent 1 43 2" xfId="3159" xr:uid="{2A365F54-8762-45B2-87BA-31C8BB3D9453}"/>
    <cellStyle name="40% - akcent 1 44" xfId="581" xr:uid="{3DEA58CF-5376-4183-B259-DCE583E2D73C}"/>
    <cellStyle name="40% - akcent 1 44 2" xfId="3215" xr:uid="{6055704D-4762-4E72-85A3-DB76B95CFC28}"/>
    <cellStyle name="40% - akcent 1 45" xfId="582" xr:uid="{E876F187-072A-4597-8802-428B72224EB2}"/>
    <cellStyle name="40% - akcent 1 45 2" xfId="3259" xr:uid="{9347149F-E2A5-4549-9499-23C93C19B832}"/>
    <cellStyle name="40% - akcent 1 46" xfId="583" xr:uid="{70207713-7EE8-4078-AA1F-CC3CF465348B}"/>
    <cellStyle name="40% - akcent 1 46 2" xfId="3248" xr:uid="{51D6C210-03C2-4A28-B090-AFA722F04224}"/>
    <cellStyle name="40% - akcent 1 47" xfId="584" xr:uid="{A6079099-B4D8-4333-8D27-1DAFBED36EE1}"/>
    <cellStyle name="40% - akcent 1 47 2" xfId="3272" xr:uid="{83E39AFB-ABCE-4AF7-AC12-A01CABB04B75}"/>
    <cellStyle name="40% - akcent 1 48" xfId="585" xr:uid="{94BD1F99-0536-4813-9A03-7D92218187A5}"/>
    <cellStyle name="40% - akcent 1 48 2" xfId="3268" xr:uid="{980180DE-B515-474A-9380-3CBE15996183}"/>
    <cellStyle name="40% - akcent 1 49" xfId="586" xr:uid="{E981F8AE-2592-4B72-A1EE-E8D0649C2D52}"/>
    <cellStyle name="40% - akcent 1 49 2" xfId="3235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0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0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23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13" xr:uid="{240DDC5D-D275-4CD0-8B38-29D57460BB33}"/>
    <cellStyle name="40% - akcent 1 9" xfId="597" xr:uid="{76B28CE8-A9C0-43D8-ADD9-D63FDE0A13D3}"/>
    <cellStyle name="40% - akcent 1 9 2" xfId="2622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2" xr:uid="{BB36DB83-9C1B-4B57-9EC6-33A113367061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IMPORT" xfId="3390" xr:uid="{AB225814-4DD0-42D0-A4DC-C261B4C589A9}"/>
    <cellStyle name="40% — akcent 1_IMPORT" xfId="3391" xr:uid="{8D500D48-EC67-42F4-A779-086942750E82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IMPORT" xfId="3395" xr:uid="{F5056BFA-BB20-4233-98A0-BF9FC6B8BDBC}"/>
    <cellStyle name="40% — akcent 1_slownik_1_IMPORT" xfId="3396" xr:uid="{C6C7D59D-909F-41F6-A9EC-7D3C70AE6FD5}"/>
    <cellStyle name="40% - akcent 1_slownik_1_slownik" xfId="3579" xr:uid="{5357DDCD-C6C0-456F-A0C8-9D1479FFF086}"/>
    <cellStyle name="40% — akcent 1_slownik_1_slownik" xfId="3580" xr:uid="{5F9F6142-6873-401A-8EE1-E8F27221B4A3}"/>
    <cellStyle name="40% - akcent 1_slownik_2" xfId="3397" xr:uid="{7E8CE57A-E1FD-4778-9C75-5D32E6B7BC51}"/>
    <cellStyle name="40% — akcent 1_slownik_2" xfId="3398" xr:uid="{FB2991CE-B07F-410F-BBBA-3A26EF27BF08}"/>
    <cellStyle name="40% - akcent 1_slownik_3" xfId="3581" xr:uid="{9BEA1014-A234-44E2-AA56-EAB6B05589FD}"/>
    <cellStyle name="40% — akcent 1_slownik_3" xfId="3582" xr:uid="{E4B37F18-4F25-4AAC-B698-12EA98C1D009}"/>
    <cellStyle name="40% - akcent 1_slownik_IMPORT" xfId="3393" xr:uid="{39B4099F-80C1-4C6C-ACB9-D8FE0B709CCC}"/>
    <cellStyle name="40% — akcent 1_slownik_IMPORT" xfId="3394" xr:uid="{7377B87F-7019-43D9-A8F9-77F0B320522E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1" xr:uid="{14F24F60-EC9D-4861-8F4D-EC98084E0016}"/>
    <cellStyle name="40% - akcent 2 11" xfId="615" xr:uid="{5110DEF9-05A2-450F-B6D8-E9432549E891}"/>
    <cellStyle name="40% - akcent 2 11 2" xfId="2579" xr:uid="{7F87B935-FBFE-465B-A281-77211AC19E37}"/>
    <cellStyle name="40% - akcent 2 12" xfId="616" xr:uid="{3EACFB1A-8804-4847-A273-CE4CDB997A8B}"/>
    <cellStyle name="40% - akcent 2 12 2" xfId="2897" xr:uid="{7C452807-FA85-4DB6-913D-D38C66FF5A77}"/>
    <cellStyle name="40% - akcent 2 13" xfId="617" xr:uid="{1B5E3A86-C1D5-4840-A32F-031C06D74CD5}"/>
    <cellStyle name="40% - akcent 2 13 2" xfId="2927" xr:uid="{27461430-5785-459A-A30C-D151E6224D21}"/>
    <cellStyle name="40% - akcent 2 14" xfId="618" xr:uid="{01DFAB15-BB35-455D-A709-370C8923243D}"/>
    <cellStyle name="40% - akcent 2 14 2" xfId="2998" xr:uid="{9051EBB5-13EE-4E0F-ACA0-BB6B83A1CB45}"/>
    <cellStyle name="40% - akcent 2 15" xfId="619" xr:uid="{20379701-E2AB-4587-9350-EE05C40DD65C}"/>
    <cellStyle name="40% - akcent 2 15 2" xfId="2824" xr:uid="{68FA3C4F-2CEE-4BEE-B9BD-9386DDA39132}"/>
    <cellStyle name="40% - akcent 2 16" xfId="620" xr:uid="{C6F6A25D-BC35-4979-9CB3-B2127D02331D}"/>
    <cellStyle name="40% - akcent 2 16 2" xfId="2942" xr:uid="{E792F9A3-168E-4F12-8D8C-FF6473F6BBE6}"/>
    <cellStyle name="40% - akcent 2 17" xfId="621" xr:uid="{182FA0B4-DCA8-4268-8209-64B0FB16277F}"/>
    <cellStyle name="40% - akcent 2 17 2" xfId="2652" xr:uid="{845DED5B-9687-4A47-B256-646B599C459A}"/>
    <cellStyle name="40% - akcent 2 18" xfId="622" xr:uid="{A3879F95-61E3-4B4C-AD8B-A8E1351BC4E2}"/>
    <cellStyle name="40% - akcent 2 18 2" xfId="2981" xr:uid="{2F1E4C19-D297-4355-9A94-96573E41A291}"/>
    <cellStyle name="40% - akcent 2 19" xfId="623" xr:uid="{4A2D1E87-8E87-4B71-90B2-C4404B1DD9EE}"/>
    <cellStyle name="40% - akcent 2 19 2" xfId="2629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73" xr:uid="{C364741C-9894-46B6-9523-E299E890621B}"/>
    <cellStyle name="40% — akcent 2 2 2" xfId="2360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18" xr:uid="{5B736D2D-3810-4443-9A99-851A92EA2ACA}"/>
    <cellStyle name="40% - akcent 2 21" xfId="629" xr:uid="{CD5A5A05-75B5-4875-807F-BBEEB87A0C2D}"/>
    <cellStyle name="40% - akcent 2 21 2" xfId="2915" xr:uid="{B6C9EDB0-FC70-4BBD-BAD5-5B8627DB8910}"/>
    <cellStyle name="40% - akcent 2 22" xfId="630" xr:uid="{F5890315-955D-49AB-9D66-8594C8AABC34}"/>
    <cellStyle name="40% - akcent 2 22 2" xfId="2665" xr:uid="{A2C68ED5-4A2D-4200-8DE3-09398D07E56D}"/>
    <cellStyle name="40% - akcent 2 23" xfId="631" xr:uid="{A75BA586-548A-4157-A4E1-562FB9AC9DD9}"/>
    <cellStyle name="40% - akcent 2 23 2" xfId="2759" xr:uid="{CC0ADA6E-B6FC-453F-8356-B9815044FB29}"/>
    <cellStyle name="40% - akcent 2 24" xfId="632" xr:uid="{C8868E99-097C-425F-A946-A4F6A4834076}"/>
    <cellStyle name="40% - akcent 2 24 2" xfId="2867" xr:uid="{9CB2056E-C59E-4C57-BE6B-D0208274B14B}"/>
    <cellStyle name="40% - akcent 2 25" xfId="633" xr:uid="{488DDA14-97A6-49C2-990F-D3B9E0514F49}"/>
    <cellStyle name="40% - akcent 2 25 2" xfId="3107" xr:uid="{8F363B08-9D1B-4AB1-9F45-168118B22388}"/>
    <cellStyle name="40% - akcent 2 26" xfId="634" xr:uid="{EC79C8BD-7BAB-4B42-A28D-A30AC89DEBD9}"/>
    <cellStyle name="40% - akcent 2 26 2" xfId="3113" xr:uid="{DFC7A417-D520-47B8-84AE-CA0258C792EA}"/>
    <cellStyle name="40% - akcent 2 27" xfId="635" xr:uid="{73072349-D9ED-4B0D-B407-CB5200663B7E}"/>
    <cellStyle name="40% - akcent 2 27 2" xfId="3119" xr:uid="{6E89AE50-1C0F-46A4-BE82-941E69C9CB54}"/>
    <cellStyle name="40% - akcent 2 28" xfId="636" xr:uid="{9228AA96-5E05-40A4-823B-93EBA79A4B7B}"/>
    <cellStyle name="40% - akcent 2 28 2" xfId="3124" xr:uid="{1E6F7682-8190-4017-83CD-32F908238F6B}"/>
    <cellStyle name="40% - akcent 2 29" xfId="637" xr:uid="{3257C598-5A8E-4C75-B1DC-3EC63F59FB72}"/>
    <cellStyle name="40% - akcent 2 29 2" xfId="3129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0" xr:uid="{04D060E3-F583-4955-8B12-4D53EE6FDFEA}"/>
    <cellStyle name="40% - akcent 2 30" xfId="640" xr:uid="{C494495B-C4BF-4A82-8D15-B5D9B23D13AB}"/>
    <cellStyle name="40% - akcent 2 30 2" xfId="3134" xr:uid="{9A9163DC-5099-4FBE-9E52-AA3B03C598D0}"/>
    <cellStyle name="40% - akcent 2 31" xfId="641" xr:uid="{87DC68F8-AFC8-4769-B7F3-3B45336A551F}"/>
    <cellStyle name="40% - akcent 2 31 2" xfId="3139" xr:uid="{4A57964A-6A1B-4BAC-BE92-91D1734D4524}"/>
    <cellStyle name="40% - akcent 2 32" xfId="642" xr:uid="{887E573F-0CFE-4EDF-B273-BA25C8C6B431}"/>
    <cellStyle name="40% - akcent 2 32 2" xfId="3144" xr:uid="{7CE952F0-050B-47AE-BD8F-09634B1A5055}"/>
    <cellStyle name="40% - akcent 2 33" xfId="643" xr:uid="{AFAAA953-8481-43E0-A133-C69DC2D9743C}"/>
    <cellStyle name="40% - akcent 2 33 2" xfId="3149" xr:uid="{7779B345-3AF4-4DA0-A73C-CC6FCEF56F1B}"/>
    <cellStyle name="40% - akcent 2 34" xfId="644" xr:uid="{DC132F28-5A20-4C8B-9035-ABF24A1B57E9}"/>
    <cellStyle name="40% - akcent 2 34 2" xfId="3154" xr:uid="{469C32D7-A709-4108-8FEE-88B9471750D9}"/>
    <cellStyle name="40% - akcent 2 35" xfId="645" xr:uid="{9096040F-2250-4792-BC5F-5F53CEDC2589}"/>
    <cellStyle name="40% - akcent 2 35 2" xfId="3158" xr:uid="{CEF3E876-524E-4AA1-930A-99961535036F}"/>
    <cellStyle name="40% - akcent 2 36" xfId="646" xr:uid="{EFE37F13-C7E3-4297-8E7C-BD4502D15EEB}"/>
    <cellStyle name="40% - akcent 2 36 2" xfId="3162" xr:uid="{9ADC7672-6150-4010-938F-7465787C91A9}"/>
    <cellStyle name="40% - akcent 2 37" xfId="647" xr:uid="{ACF7145B-28FD-4DD6-A8D6-1ADDA53507DF}"/>
    <cellStyle name="40% - akcent 2 37 2" xfId="3165" xr:uid="{14F240EB-E75F-45EF-8019-43BD400E00C3}"/>
    <cellStyle name="40% - akcent 2 38" xfId="648" xr:uid="{BA4AA1DB-6BFC-487D-B0C8-2267703A6D66}"/>
    <cellStyle name="40% - akcent 2 38 2" xfId="3168" xr:uid="{CA940DBE-D2D2-41D4-8326-40216BCC50D9}"/>
    <cellStyle name="40% - akcent 2 39" xfId="649" xr:uid="{C7E64A98-8C81-471C-A4EE-E57EB57F0FAD}"/>
    <cellStyle name="40% - akcent 2 39 2" xfId="3171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392" xr:uid="{1A379FA3-3FDF-4C20-8450-6E1779C8AEFD}"/>
    <cellStyle name="40% - akcent 2 40" xfId="652" xr:uid="{D87B703B-B0F0-4D63-897D-1AE4D18BA06A}"/>
    <cellStyle name="40% - akcent 2 40 2" xfId="3174" xr:uid="{9B11A81D-667D-4123-8B69-24C7BE7ADA7C}"/>
    <cellStyle name="40% - akcent 2 41" xfId="653" xr:uid="{E4B54EF0-0537-4002-A1A7-D2FA77CA5519}"/>
    <cellStyle name="40% - akcent 2 41 2" xfId="3177" xr:uid="{572FE2A7-4AC9-4CB9-BDD1-1BC7BC185ACA}"/>
    <cellStyle name="40% - akcent 2 42" xfId="654" xr:uid="{0072ACBC-E133-4DD1-AFCD-F578EC197F58}"/>
    <cellStyle name="40% - akcent 2 42 2" xfId="3180" xr:uid="{10B5B1AB-4933-4185-8BF7-DA8630554D21}"/>
    <cellStyle name="40% - akcent 2 43" xfId="655" xr:uid="{FA7AEB18-B55D-4F32-B858-707E8A20A376}"/>
    <cellStyle name="40% - akcent 2 43 2" xfId="3183" xr:uid="{07F5D332-52B8-4DF9-AA5B-0B7200C2AEB8}"/>
    <cellStyle name="40% - akcent 2 44" xfId="656" xr:uid="{2986A92C-6B02-461D-B09C-8242E8D2E678}"/>
    <cellStyle name="40% - akcent 2 44 2" xfId="3216" xr:uid="{708ECE3B-C51E-4115-8563-F83221CE4855}"/>
    <cellStyle name="40% - akcent 2 45" xfId="657" xr:uid="{06F77F37-9C0E-4249-9FA7-3B5F626EB464}"/>
    <cellStyle name="40% - akcent 2 45 2" xfId="3291" xr:uid="{F2893E20-48B4-47B9-915E-E6F6457D6ECC}"/>
    <cellStyle name="40% - akcent 2 46" xfId="658" xr:uid="{DBECE2B2-0018-4BA1-A35C-B03FBB41B235}"/>
    <cellStyle name="40% - akcent 2 46 2" xfId="3309" xr:uid="{35A53E1D-147D-4EF3-9D3A-8C362F478D83}"/>
    <cellStyle name="40% - akcent 2 47" xfId="659" xr:uid="{A7E63888-1170-496B-9FFA-4A3E62678731}"/>
    <cellStyle name="40% - akcent 2 47 2" xfId="3300" xr:uid="{4B153835-B09E-427A-86A8-9397AB37A123}"/>
    <cellStyle name="40% - akcent 2 48" xfId="660" xr:uid="{70D9F4EC-BC32-46B7-848E-3084640B2D69}"/>
    <cellStyle name="40% - akcent 2 48 2" xfId="3311" xr:uid="{D048BE16-1E64-4034-9A8A-193A364585BF}"/>
    <cellStyle name="40% - akcent 2 49" xfId="661" xr:uid="{D4ED1416-AACD-4895-B7F3-FCD38E0C028A}"/>
    <cellStyle name="40% - akcent 2 49 2" xfId="3249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42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72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24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14" xr:uid="{767AEFAA-BAD6-4712-AA13-366F884B6101}"/>
    <cellStyle name="40% - akcent 2 9" xfId="670" xr:uid="{89C58405-4B7E-47B5-8099-4C8FD9CC912F}"/>
    <cellStyle name="40% - akcent 2 9 2" xfId="2625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82E8F272-73B0-461B-A0F5-06FBC1C0DD78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IMPORT" xfId="3399" xr:uid="{4CC912E0-A476-4F88-B0AD-E1A3F01AE8D4}"/>
    <cellStyle name="40% — akcent 2_IMPORT" xfId="3400" xr:uid="{C5BD7C33-CD13-4970-BF09-FBC35944D229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IMPORT" xfId="3403" xr:uid="{89621985-9580-4BE0-9609-A4D931675C10}"/>
    <cellStyle name="40% — akcent 2_slownik_1_slownik" xfId="3583" xr:uid="{EA3B1380-82F6-46D8-A634-01374ADDFB56}"/>
    <cellStyle name="40% - akcent 2_slownik_2" xfId="3404" xr:uid="{55155EBD-2831-4D66-A90F-E3DD3292CFDD}"/>
    <cellStyle name="40% — akcent 2_slownik_2" xfId="3405" xr:uid="{E50ECF38-73B0-4E9A-848A-46AEAEDD52D6}"/>
    <cellStyle name="40% - akcent 2_slownik_3" xfId="3584" xr:uid="{931B0105-FF9E-45FA-A6DE-7FA093A2048A}"/>
    <cellStyle name="40% — akcent 2_slownik_3" xfId="3585" xr:uid="{8EBE2782-64F3-42CC-925A-ECCB617F703E}"/>
    <cellStyle name="40% - akcent 2_slownik_IMPORT" xfId="3402" xr:uid="{66A9B5DE-3E17-43CB-A210-856AE0B9E760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1" xr:uid="{860EC73C-F548-4A27-BDD8-19BA7D423AEE}"/>
    <cellStyle name="40% - akcent 3 11" xfId="690" xr:uid="{15FBE855-91AB-4079-8AEA-2287560E9147}"/>
    <cellStyle name="40% - akcent 3 11 2" xfId="2588" xr:uid="{4840490B-36B3-43F0-BECC-F0B5E6D1DBD6}"/>
    <cellStyle name="40% - akcent 3 12" xfId="691" xr:uid="{F734CF97-8EBA-47E4-91F5-9CF67D4528DF}"/>
    <cellStyle name="40% - akcent 3 12 2" xfId="2783" xr:uid="{3FAEF497-D739-4459-8C03-5D5F9C43AB3C}"/>
    <cellStyle name="40% - akcent 3 13" xfId="692" xr:uid="{77426731-9F4A-47A2-81FF-79CA4C49B10B}"/>
    <cellStyle name="40% - akcent 3 13 2" xfId="2716" xr:uid="{E70E4400-3398-46CD-8BB7-55AB1B7AB000}"/>
    <cellStyle name="40% - akcent 3 14" xfId="693" xr:uid="{92AE145F-4888-4F0A-B34F-BD091D3FA4D9}"/>
    <cellStyle name="40% - akcent 3 14 2" xfId="2966" xr:uid="{C6D98C0D-8805-4D26-958B-2518A069C2C3}"/>
    <cellStyle name="40% - akcent 3 15" xfId="694" xr:uid="{2BC064C9-75B9-41B7-B456-B52A6F7EBE8B}"/>
    <cellStyle name="40% - akcent 3 15 2" xfId="3046" xr:uid="{B6268CCF-C6CE-4B67-AB43-532B04FDB99A}"/>
    <cellStyle name="40% - akcent 3 16" xfId="695" xr:uid="{0C0043A3-B5B6-4010-996B-D433C32C3660}"/>
    <cellStyle name="40% - akcent 3 16 2" xfId="2599" xr:uid="{C1B3A16B-4EF9-469E-8710-53CBF8656491}"/>
    <cellStyle name="40% - akcent 3 17" xfId="696" xr:uid="{44F6EF86-2146-457F-B60A-D9EBF9111B22}"/>
    <cellStyle name="40% - akcent 3 17 2" xfId="2778" xr:uid="{ED8EAC0F-DCE2-4FC7-BFE4-2349EEA51BA9}"/>
    <cellStyle name="40% - akcent 3 18" xfId="697" xr:uid="{36A6B3BA-D300-48BA-84CF-A990A18D75F1}"/>
    <cellStyle name="40% - akcent 3 18 2" xfId="2717" xr:uid="{470443AE-F535-4E7A-9186-58EED613FDFF}"/>
    <cellStyle name="40% - akcent 3 19" xfId="698" xr:uid="{7FC05391-3F34-4BEE-9891-8090EC97AF4D}"/>
    <cellStyle name="40% - akcent 3 19 2" xfId="2965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1" xr:uid="{B1E5BDC9-F533-40FE-A87D-7BC0ABD76FF6}"/>
    <cellStyle name="40% - akcent 3 2 2 2" xfId="2465" xr:uid="{06EBA17F-E2CF-4FFD-9C62-F3062096A486}"/>
    <cellStyle name="40% - akcent 3 2 3" xfId="702" xr:uid="{8D37A187-D6B2-4F9E-B274-005A45B153CE}"/>
    <cellStyle name="40% - akcent 3 2 3 2" xfId="2444" xr:uid="{2E42E017-F0CD-4AB8-9564-C56E4FA85DF1}"/>
    <cellStyle name="40% - akcent 3 2 4" xfId="2275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37" xr:uid="{98FE8954-7590-45C0-84BC-012151B54D42}"/>
    <cellStyle name="40% - akcent 3 21" xfId="706" xr:uid="{9D96F92C-A0F4-4D6C-BC28-8C00A069B39B}"/>
    <cellStyle name="40% - akcent 3 21 2" xfId="2576" xr:uid="{95AF5B0C-B4EE-44AF-B645-4B721AB53D12}"/>
    <cellStyle name="40% - akcent 3 22" xfId="707" xr:uid="{77C52A3E-DE78-4F20-B390-0AB6C876447F}"/>
    <cellStyle name="40% - akcent 3 22 2" xfId="2789" xr:uid="{55DCCD33-C292-46AE-A95F-3C694C3CBDDA}"/>
    <cellStyle name="40% - akcent 3 23" xfId="708" xr:uid="{93DBA7B5-61FF-4563-B75D-49AA58EF3DBF}"/>
    <cellStyle name="40% - akcent 3 23 2" xfId="2713" xr:uid="{14C4146A-3CA2-49E4-B051-363546F8107A}"/>
    <cellStyle name="40% - akcent 3 24" xfId="709" xr:uid="{5C294589-C05A-42FE-8D9F-A59D397C32A8}"/>
    <cellStyle name="40% - akcent 3 24 2" xfId="2875" xr:uid="{9F1D2937-9CD3-420B-AABC-FCB9B8168A5B}"/>
    <cellStyle name="40% - akcent 3 25" xfId="710" xr:uid="{EFA2154B-7B39-48CE-92A7-04D6B8D6E301}"/>
    <cellStyle name="40% - akcent 3 25 2" xfId="3053" xr:uid="{CADDE5F4-2568-49C1-9F0E-1E8065180616}"/>
    <cellStyle name="40% - akcent 3 26" xfId="711" xr:uid="{B842A2FF-22BA-4532-9480-694AF9FC12D2}"/>
    <cellStyle name="40% - akcent 3 26 2" xfId="2808" xr:uid="{11400720-C184-4639-825A-FF3C4DA0F748}"/>
    <cellStyle name="40% - akcent 3 27" xfId="712" xr:uid="{464011E6-F0FF-4328-BF4B-89CE921E9590}"/>
    <cellStyle name="40% - akcent 3 27 2" xfId="2857" xr:uid="{4413EC35-5581-448C-BBE6-3BC30CC56584}"/>
    <cellStyle name="40% - akcent 3 28" xfId="713" xr:uid="{8590E8E1-1966-4B62-8F3F-9EF851117143}"/>
    <cellStyle name="40% - akcent 3 28 2" xfId="2693" xr:uid="{81203782-848E-4488-A0F4-A3C9779823DF}"/>
    <cellStyle name="40% - akcent 3 29" xfId="714" xr:uid="{60555324-E2CC-404C-823B-8ED73FC84FA6}"/>
    <cellStyle name="40% - akcent 3 29 2" xfId="2751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1" xr:uid="{06535826-F824-4EF1-9E59-2D762F2F7D6E}"/>
    <cellStyle name="40% - akcent 3 30" xfId="717" xr:uid="{82DD3DE3-8041-46A1-B7C8-85E2B95D665F}"/>
    <cellStyle name="40% - akcent 3 30 2" xfId="2728" xr:uid="{C66A9B22-C818-40B6-844B-4E455630683F}"/>
    <cellStyle name="40% - akcent 3 31" xfId="718" xr:uid="{728A8AB0-C4CA-4161-9C99-AF7251B6A42F}"/>
    <cellStyle name="40% - akcent 3 31 2" xfId="2873" xr:uid="{1A3EE401-2DCE-4613-9DD2-D6DBD1E1EAC9}"/>
    <cellStyle name="40% - akcent 3 32" xfId="719" xr:uid="{309946AC-0AB3-488D-AA66-856992307BB3}"/>
    <cellStyle name="40% - akcent 3 32 2" xfId="2685" xr:uid="{E4E54DBA-2621-4072-8D48-69FF4D2496C5}"/>
    <cellStyle name="40% - akcent 3 33" xfId="720" xr:uid="{136341BC-1EDE-4A77-B657-57E8DF0E7505}"/>
    <cellStyle name="40% - akcent 3 33 2" xfId="2881" xr:uid="{EF63DA5B-16BC-47C3-8616-76508A7A5D21}"/>
    <cellStyle name="40% - akcent 3 34" xfId="721" xr:uid="{68111214-83A2-47E2-A4B0-C8A6B1665D75}"/>
    <cellStyle name="40% - akcent 3 34 2" xfId="2843" xr:uid="{E4E65E43-C397-47DD-B47A-39BFB6E9BA98}"/>
    <cellStyle name="40% - akcent 3 35" xfId="722" xr:uid="{DDB0D715-AE41-487F-8FE3-C6263660F606}"/>
    <cellStyle name="40% - akcent 3 35 2" xfId="2850" xr:uid="{046CC545-AD07-41F0-AB26-5CE64CBCFF05}"/>
    <cellStyle name="40% - akcent 3 36" xfId="723" xr:uid="{343D47E4-3F95-46CD-8367-A5B49C891E17}"/>
    <cellStyle name="40% - akcent 3 36 2" xfId="2848" xr:uid="{238C80AE-FD13-406F-A77D-36B0EE663B04}"/>
    <cellStyle name="40% - akcent 3 37" xfId="724" xr:uid="{55BDC862-69E9-45D3-B5D3-8586D9B1BE24}"/>
    <cellStyle name="40% - akcent 3 37 2" xfId="2699" xr:uid="{642DED98-AF67-485D-A916-F243FCC3D507}"/>
    <cellStyle name="40% - akcent 3 38" xfId="725" xr:uid="{9DBFCC29-A140-433C-B417-95FF455B628F}"/>
    <cellStyle name="40% - akcent 3 38 2" xfId="2749" xr:uid="{67830B83-1BFD-4870-BBE2-384A998BE41F}"/>
    <cellStyle name="40% - akcent 3 39" xfId="726" xr:uid="{5D051AED-1BA5-44BB-A277-29D6E551D4BA}"/>
    <cellStyle name="40% - akcent 3 39 2" xfId="3010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393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13" xr:uid="{92969FA5-2112-424D-8B59-6A0F96C01A29}"/>
    <cellStyle name="40% - akcent 3 41" xfId="732" xr:uid="{CC996579-7E7F-40F8-B554-2291769539EB}"/>
    <cellStyle name="40% - akcent 3 41 2" xfId="2948" xr:uid="{E1C3583F-AC83-45EF-8582-E7AF60A73F39}"/>
    <cellStyle name="40% - akcent 3 42" xfId="733" xr:uid="{1DF89774-A022-4769-98D8-718D49D17120}"/>
    <cellStyle name="40% - akcent 3 42 2" xfId="3099" xr:uid="{9E53B6D9-BB52-4CF3-B600-85C4D199E265}"/>
    <cellStyle name="40% - akcent 3 43" xfId="734" xr:uid="{B4C42649-8191-4912-B06A-C52840F0D04D}"/>
    <cellStyle name="40% - akcent 3 43 2" xfId="2797" xr:uid="{111B7E43-B703-4145-8BC4-2844D82766EB}"/>
    <cellStyle name="40% - akcent 3 44" xfId="735" xr:uid="{023D1FE4-2F62-4FDC-8812-784324AAF443}"/>
    <cellStyle name="40% - akcent 3 44 2" xfId="3217" xr:uid="{FA8CC840-5CB6-4046-AC25-5937B64D34D7}"/>
    <cellStyle name="40% - akcent 3 45" xfId="736" xr:uid="{83E77D6F-26FB-4D9D-9A62-E45F05642ED0}"/>
    <cellStyle name="40% - akcent 3 45 2" xfId="3240" xr:uid="{21491B01-E45D-47E5-BFA3-343E62D4B230}"/>
    <cellStyle name="40% - akcent 3 46" xfId="737" xr:uid="{1B123359-83C8-44C4-AE9F-3D0D4323D657}"/>
    <cellStyle name="40% - akcent 3 46 2" xfId="3304" xr:uid="{CECFA809-0E23-4A78-A413-6301D8ACA84D}"/>
    <cellStyle name="40% - akcent 3 47" xfId="738" xr:uid="{AC85A234-F4F6-4EEA-8654-DAE6BBC681B9}"/>
    <cellStyle name="40% - akcent 3 47 2" xfId="3261" xr:uid="{D95DB21E-F07D-4ED0-AF2C-821C5EC4B8DE}"/>
    <cellStyle name="40% - akcent 3 48" xfId="739" xr:uid="{4406428A-E908-4CB5-BD38-807E875BC977}"/>
    <cellStyle name="40% - akcent 3 48 2" xfId="3295" xr:uid="{8D61314F-F5FF-4387-8BC8-D550122DAEAC}"/>
    <cellStyle name="40% - akcent 3 49" xfId="740" xr:uid="{95FC9B62-7779-4B5A-A0A5-7FABD168D1AA}"/>
    <cellStyle name="40% - akcent 3 49 2" xfId="3258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43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74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25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15" xr:uid="{196112E1-8452-406E-A17B-9D590B347D69}"/>
    <cellStyle name="40% - akcent 3 9" xfId="751" xr:uid="{08ABA219-782A-42BC-8D33-6342D306C5E7}"/>
    <cellStyle name="40% - akcent 3 9 2" xfId="2628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234E9D2F-1C5E-465B-8B13-76B1DD1ADF47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IMPORT" xfId="3406" xr:uid="{58B088AB-0E24-4882-A869-139005357AFD}"/>
    <cellStyle name="40% — akcent 3_IMPORT" xfId="3407" xr:uid="{75421C47-5281-4AAB-8673-3353C8B0F997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IMPORT" xfId="3410" xr:uid="{4BE3F6FC-0B4E-4539-9544-6CEE1F135FFF}"/>
    <cellStyle name="40% — akcent 3_slownik_1_slownik" xfId="3586" xr:uid="{4472833F-428F-45C5-A816-FA8F56159CD2}"/>
    <cellStyle name="40% - akcent 3_slownik_2" xfId="3411" xr:uid="{5E75BE8D-617F-4D0E-A672-214CDB38688B}"/>
    <cellStyle name="40% — akcent 3_slownik_2" xfId="3412" xr:uid="{F4454145-8C20-495E-8786-755FDEAF0D82}"/>
    <cellStyle name="40% - akcent 3_slownik_3" xfId="3587" xr:uid="{02B27875-9B47-4ACD-9B16-D0F1157AE62B}"/>
    <cellStyle name="40% — akcent 3_slownik_3" xfId="3588" xr:uid="{4F43109D-D60D-46DC-9BAA-51F8F566DE0E}"/>
    <cellStyle name="40% - akcent 3_slownik_IMPORT" xfId="3409" xr:uid="{BAD979D7-3C71-46D3-ABDF-80582F261E3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65" xr:uid="{61F73E0E-9BAD-4668-BB9E-EAA7CA93EF6F}"/>
    <cellStyle name="40% - akcent 4 11" xfId="771" xr:uid="{2F2891DB-AF60-45C1-A122-E458C6F67839}"/>
    <cellStyle name="40% - akcent 4 11 2" xfId="2723" xr:uid="{1FF2090E-FA1D-4401-B703-51F49373AB12}"/>
    <cellStyle name="40% - akcent 4 12" xfId="772" xr:uid="{367212DA-DB72-44E7-907C-0D32D775707C}"/>
    <cellStyle name="40% - akcent 4 12 2" xfId="2739" xr:uid="{9A74B60C-DC0C-40D6-B292-A55118BA1E4C}"/>
    <cellStyle name="40% - akcent 4 13" xfId="773" xr:uid="{10234B62-B426-4887-88A9-2EC78321DE0E}"/>
    <cellStyle name="40% - akcent 4 13 2" xfId="3020" xr:uid="{7C5B0268-80FF-4675-B93D-A23DE96E6CA4}"/>
    <cellStyle name="40% - akcent 4 14" xfId="774" xr:uid="{D9137A9D-3E1D-4C34-B081-7C2F7C643A4D}"/>
    <cellStyle name="40% - akcent 4 14 2" xfId="2614" xr:uid="{9FA0B188-A1BF-4C95-95B7-F04253A1E9DF}"/>
    <cellStyle name="40% - akcent 4 15" xfId="775" xr:uid="{B6F910B0-E618-44F5-B2A4-A230623A1A50}"/>
    <cellStyle name="40% - akcent 4 15 2" xfId="2773" xr:uid="{B8442A63-2880-4ED7-91CA-553BA6BFFF9F}"/>
    <cellStyle name="40% - akcent 4 16" xfId="776" xr:uid="{F457844D-5FE6-47F3-86E4-57DD711819EE}"/>
    <cellStyle name="40% - akcent 4 16 2" xfId="3061" xr:uid="{8D52FD82-40E3-4420-9510-BD1C7CFE4F7F}"/>
    <cellStyle name="40% - akcent 4 17" xfId="777" xr:uid="{64302B33-A440-40F1-89A6-BF3CAE443ADD}"/>
    <cellStyle name="40% - akcent 4 17 2" xfId="3038" xr:uid="{D5E2A2D1-62BA-49AD-8348-9CF7C973FCF4}"/>
    <cellStyle name="40% - akcent 4 18" xfId="778" xr:uid="{425168EF-4AA6-41B2-AAE9-61C9D0A10997}"/>
    <cellStyle name="40% - akcent 4 18 2" xfId="2995" xr:uid="{DDA99C9E-C31F-4180-BD46-1ACE1DF37896}"/>
    <cellStyle name="40% - akcent 4 19" xfId="779" xr:uid="{717A496B-34BB-440B-BC5C-6DB238F87E27}"/>
    <cellStyle name="40% - akcent 4 19 2" xfId="3043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62" xr:uid="{13437FD5-E224-41E7-B10C-7069B3920481}"/>
    <cellStyle name="40% - akcent 4 2 2 2" xfId="2466" xr:uid="{5BCB768C-13E8-4DCB-B2C2-8C262B048D3F}"/>
    <cellStyle name="40% - akcent 4 2 3" xfId="783" xr:uid="{4EB2B42A-BFBC-450E-9215-21F6CD94F0C0}"/>
    <cellStyle name="40% - akcent 4 2 3 2" xfId="2446" xr:uid="{B881DD81-AA35-4EA0-A91C-B6AAEEAB335C}"/>
    <cellStyle name="40% - akcent 4 2 4" xfId="2277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1" xr:uid="{D3A802E9-110A-44BD-B253-5EEDA984CFFB}"/>
    <cellStyle name="40% - akcent 4 21" xfId="787" xr:uid="{BE110ECC-9712-4303-96F4-8DCFE47FB9E6}"/>
    <cellStyle name="40% - akcent 4 21 2" xfId="2992" xr:uid="{3C08E23F-21C5-4360-B706-670DDB6371D7}"/>
    <cellStyle name="40% - akcent 4 22" xfId="788" xr:uid="{7F5E270E-3A5F-4BD4-BBEF-1476AE3A3BE5}"/>
    <cellStyle name="40% - akcent 4 22 2" xfId="2826" xr:uid="{8091CF5E-BF4C-4D39-A795-78DAF05F8CE8}"/>
    <cellStyle name="40% - akcent 4 23" xfId="789" xr:uid="{94929CF1-7F45-446E-9ACD-648DD4B1FE78}"/>
    <cellStyle name="40% - akcent 4 23 2" xfId="2940" xr:uid="{9DE188E0-096C-496D-93A7-470A30FF86DB}"/>
    <cellStyle name="40% - akcent 4 24" xfId="790" xr:uid="{5EF9A72F-F59B-4AF9-9C82-11BD4611385F}"/>
    <cellStyle name="40% - akcent 4 24 2" xfId="2653" xr:uid="{95779CDD-93FF-4EF7-8B2A-401BD5DF9793}"/>
    <cellStyle name="40% - akcent 4 25" xfId="791" xr:uid="{95B133B9-3A8B-40F8-997D-6AED253845EE}"/>
    <cellStyle name="40% - akcent 4 25 2" xfId="2791" xr:uid="{7FA3D97C-15D4-434B-92B2-CC8B5E461328}"/>
    <cellStyle name="40% - akcent 4 26" xfId="792" xr:uid="{6C72120F-683A-4D63-AE7F-B4A1E885AFCD}"/>
    <cellStyle name="40% - akcent 4 26 2" xfId="2956" xr:uid="{9B9ED932-A68D-4F63-B29F-4AFA619D7E5C}"/>
    <cellStyle name="40% - akcent 4 27" xfId="793" xr:uid="{205D796C-126E-4957-AE0B-A17593F09BD5}"/>
    <cellStyle name="40% - akcent 4 27 2" xfId="2643" xr:uid="{57989D6F-8FDE-4BD4-9269-7959DA0E3876}"/>
    <cellStyle name="40% - akcent 4 28" xfId="794" xr:uid="{A5B77178-C3CB-43D7-B7D6-8F4F81EF2102}"/>
    <cellStyle name="40% - akcent 4 28 2" xfId="2978" xr:uid="{5C954FA7-82E6-4364-91C8-D71F306A647C}"/>
    <cellStyle name="40% - akcent 4 29" xfId="795" xr:uid="{4CEEDDFD-C704-4718-96A6-8656518CC72B}"/>
    <cellStyle name="40% - akcent 4 29 2" xfId="2631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22" xr:uid="{464B036A-E909-4439-ABC1-57D2C3BACFAE}"/>
    <cellStyle name="40% - akcent 4 30" xfId="798" xr:uid="{7592B910-4E47-4C93-A94E-7BFB336EE21D}"/>
    <cellStyle name="40% - akcent 4 30 2" xfId="2887" xr:uid="{AB2A3C75-6425-49EF-8B11-A228B74992D7}"/>
    <cellStyle name="40% - akcent 4 31" xfId="799" xr:uid="{8A0B843E-A5FE-4635-AEFD-127096CEDA92}"/>
    <cellStyle name="40% - akcent 4 31 2" xfId="2676" xr:uid="{79FB97D2-514A-466B-959C-91A445A2E908}"/>
    <cellStyle name="40% - akcent 4 32" xfId="800" xr:uid="{B8557AEC-307E-43CF-BE11-D8C86AB680F5}"/>
    <cellStyle name="40% - akcent 4 32 2" xfId="2883" xr:uid="{58850D92-EF97-4846-9F13-CFFD147B6644}"/>
    <cellStyle name="40% - akcent 4 33" xfId="801" xr:uid="{4916A46C-CB1C-4721-99D4-156AAF4B213F}"/>
    <cellStyle name="40% - akcent 4 33 2" xfId="2679" xr:uid="{E6E8A193-5660-42FD-B8D6-0A1ED35FB66F}"/>
    <cellStyle name="40% - akcent 4 34" xfId="802" xr:uid="{425D8659-E457-4576-AD78-2AB971E60392}"/>
    <cellStyle name="40% - akcent 4 34 2" xfId="2882" xr:uid="{199B028F-6D59-42C6-9893-13CA67AA98F4}"/>
    <cellStyle name="40% - akcent 4 35" xfId="803" xr:uid="{FE7AEFE5-9345-4FB9-BEA7-BC1E84027DB8}"/>
    <cellStyle name="40% - akcent 4 35 2" xfId="2680" xr:uid="{098904B7-C1C3-4E92-861A-1D609F2F5746}"/>
    <cellStyle name="40% - akcent 4 36" xfId="804" xr:uid="{51845A8B-674F-4156-B100-25CC7CF6CC99}"/>
    <cellStyle name="40% - akcent 4 36 2" xfId="2757" xr:uid="{D3BEF4CF-7791-44E5-9E0C-5A54884CD96F}"/>
    <cellStyle name="40% - akcent 4 37" xfId="805" xr:uid="{BBAFD438-DB2B-475C-BC58-0463F6E45D88}"/>
    <cellStyle name="40% - akcent 4 37 2" xfId="2725" xr:uid="{CC6FDD34-A36B-481F-BA5F-C1108C385E5F}"/>
    <cellStyle name="40% - akcent 4 38" xfId="806" xr:uid="{4247DD0B-38E9-4B9E-830E-C06CF6CD8E96}"/>
    <cellStyle name="40% - akcent 4 38 2" xfId="2738" xr:uid="{9B888844-7CC0-48C3-9E55-EA42F3CA5619}"/>
    <cellStyle name="40% - akcent 4 39" xfId="807" xr:uid="{71025580-3673-4C59-8047-0B4D2754F1DB}"/>
    <cellStyle name="40% - akcent 4 39 2" xfId="2870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394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45" xr:uid="{72E7536E-E8FA-406B-8FFA-EDBB40572445}"/>
    <cellStyle name="40% - akcent 4 41" xfId="813" xr:uid="{9371AB06-C9E6-4999-AE58-6C32B96C0C26}"/>
    <cellStyle name="40% - akcent 4 41 2" xfId="2701" xr:uid="{E0D047F8-BD6E-4B9C-82AF-7CDEC05ACF66}"/>
    <cellStyle name="40% - akcent 4 42" xfId="814" xr:uid="{2B262F78-2E52-44EE-86A7-659E4A404DCA}"/>
    <cellStyle name="40% - akcent 4 42 2" xfId="3014" xr:uid="{71E11EBC-619E-4A29-8301-C95B99736D45}"/>
    <cellStyle name="40% - akcent 4 43" xfId="815" xr:uid="{9EA82C6E-E5BF-4C79-B1F8-66E6DC753D62}"/>
    <cellStyle name="40% - akcent 4 43 2" xfId="2618" xr:uid="{CF2C8328-242C-4FB2-97FB-2F097B16DA9A}"/>
    <cellStyle name="40% - akcent 4 44" xfId="816" xr:uid="{D177C344-99B7-42B0-A103-98A9BC91FCA6}"/>
    <cellStyle name="40% - akcent 4 44 2" xfId="3218" xr:uid="{5069CA52-667B-4BBA-AF04-92B66B5F9D7B}"/>
    <cellStyle name="40% - akcent 4 45" xfId="817" xr:uid="{9A17C5BD-E6AB-4BCB-A218-C49698B7ED62}"/>
    <cellStyle name="40% - akcent 4 45 2" xfId="3239" xr:uid="{6F13D24C-3F73-481A-A46B-2B9A8BC526E6}"/>
    <cellStyle name="40% - akcent 4 46" xfId="818" xr:uid="{29E5DA35-2FEE-4BF1-A7FF-7634EDA30C98}"/>
    <cellStyle name="40% - akcent 4 46 2" xfId="3234" xr:uid="{CD486B0B-9976-4314-A70A-E9A7FE1267B0}"/>
    <cellStyle name="40% - akcent 4 47" xfId="819" xr:uid="{70D16482-E7CF-49C8-93F5-CB44DCB5D7AD}"/>
    <cellStyle name="40% - akcent 4 47 2" xfId="3266" xr:uid="{53291C3A-2CEB-4CCE-8CED-ECBBF0B2B69A}"/>
    <cellStyle name="40% - akcent 4 48" xfId="820" xr:uid="{0578D197-175F-4CE5-8532-35AD642A238E}"/>
    <cellStyle name="40% - akcent 4 48 2" xfId="3263" xr:uid="{4E04914D-C7FD-4A24-B7D6-82F3BBF9DBAD}"/>
    <cellStyle name="40% - akcent 4 49" xfId="821" xr:uid="{114B4AE6-212C-4EA6-899F-5E1749CF72AA}"/>
    <cellStyle name="40% - akcent 4 49 2" xfId="3257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45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76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26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16" xr:uid="{C4638AF0-2E94-4AA8-AE78-79512D0B82D8}"/>
    <cellStyle name="40% - akcent 4 9" xfId="832" xr:uid="{C5F12EF5-C78B-437C-80C9-26A41783C8FE}"/>
    <cellStyle name="40% - akcent 4 9 2" xfId="2635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2DE6077F-4A18-4C93-A45A-A93362CFADF2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IMPORT" xfId="3413" xr:uid="{B3D9AA9F-E5C3-454B-BE32-FAC409BEE932}"/>
    <cellStyle name="40% — akcent 4_IMPORT" xfId="3414" xr:uid="{547A342F-AF8C-4CF4-9983-128D9B5A5069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IMPORT" xfId="3417" xr:uid="{50110301-77BE-4C9D-94E7-201066FC195A}"/>
    <cellStyle name="40% — akcent 4_slownik_1_slownik" xfId="3589" xr:uid="{E0260F91-762C-4874-8A52-2AFC930DD1F3}"/>
    <cellStyle name="40% - akcent 4_slownik_2" xfId="3418" xr:uid="{A355FA21-B205-4C8F-B36C-EB366A7E6ADD}"/>
    <cellStyle name="40% — akcent 4_slownik_2" xfId="3419" xr:uid="{EA3C887D-A336-42F5-9035-F276A2A0ECC9}"/>
    <cellStyle name="40% - akcent 4_slownik_3" xfId="3590" xr:uid="{AF5C4761-C05C-4B0F-B7AC-47749152DE29}"/>
    <cellStyle name="40% — akcent 4_slownik_3" xfId="3591" xr:uid="{150C26CC-094F-4737-91A8-34E3B6883DA5}"/>
    <cellStyle name="40% - akcent 4_slownik_IMPORT" xfId="3416" xr:uid="{E23F02C4-8163-408E-9B45-393738EB1207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85" xr:uid="{7B9D0BCF-F595-4876-A769-C21F9D8A2708}"/>
    <cellStyle name="40% - akcent 5 11" xfId="852" xr:uid="{52CAC7BA-834E-41DD-9846-348CC143B8BF}"/>
    <cellStyle name="40% - akcent 5 11 2" xfId="2678" xr:uid="{7EDA6434-45E9-49E3-8F72-2DCFF3478449}"/>
    <cellStyle name="40% - akcent 5 12" xfId="853" xr:uid="{15CD8008-0690-4FF4-A6EE-FB920ADD4E3E}"/>
    <cellStyle name="40% - akcent 5 12 2" xfId="2969" xr:uid="{24F87D94-7DD0-4474-9499-3F026D7D052D}"/>
    <cellStyle name="40% - akcent 5 13" xfId="854" xr:uid="{A9167935-15DA-4EAE-85F8-5D20F22E5046}"/>
    <cellStyle name="40% - akcent 5 13 2" xfId="3026" xr:uid="{9F361629-A6C9-4046-916A-0A89DF53EDC5}"/>
    <cellStyle name="40% - akcent 5 14" xfId="855" xr:uid="{1ABD72DB-B062-4500-A8D2-BF0628477A21}"/>
    <cellStyle name="40% - akcent 5 14 2" xfId="3040" xr:uid="{53AE2319-4E77-46EB-9057-10D49F921021}"/>
    <cellStyle name="40% - akcent 5 15" xfId="856" xr:uid="{21E7713D-D5BC-4CF7-A939-17DF02D594AE}"/>
    <cellStyle name="40% - akcent 5 15 2" xfId="2605" xr:uid="{CBDCAE6D-21E4-4301-A784-887CD95F1718}"/>
    <cellStyle name="40% - akcent 5 16" xfId="857" xr:uid="{5282385B-DA13-4D57-8BD8-8DFFF39C5DE4}"/>
    <cellStyle name="40% - akcent 5 16 2" xfId="2776" xr:uid="{3FF5A597-75D0-4F02-B7BB-14C7E6C4A5BD}"/>
    <cellStyle name="40% - akcent 5 17" xfId="858" xr:uid="{53949F36-2175-45A2-AE40-FD769A5D0D89}"/>
    <cellStyle name="40% - akcent 5 17 2" xfId="3060" xr:uid="{4F4C96BD-AD87-4BEF-A33B-66DA4FBA7E03}"/>
    <cellStyle name="40% - akcent 5 18" xfId="859" xr:uid="{401D94D9-6C9F-41DD-BE91-5E154729AC99}"/>
    <cellStyle name="40% - akcent 5 18 2" xfId="2592" xr:uid="{FDC0ABBC-8D56-4939-B1C5-3368DE1C68F1}"/>
    <cellStyle name="40% - akcent 5 19" xfId="860" xr:uid="{E57CB7C1-1F1D-4395-BA27-699A9C469150}"/>
    <cellStyle name="40% - akcent 5 19 2" xfId="2782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79" xr:uid="{02A7A234-B3ED-4813-A35E-07991F37DBFE}"/>
    <cellStyle name="40% — akcent 5 2 2" xfId="2363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07" xr:uid="{38FF5D50-AFBE-46B0-97A7-34511631D853}"/>
    <cellStyle name="40% - akcent 5 21" xfId="866" xr:uid="{1CEDC2C8-42AF-42C6-A5B8-CB5E8A13B293}"/>
    <cellStyle name="40% - akcent 5 21 2" xfId="2816" xr:uid="{088B2BE3-CE5F-4A7B-811C-4C8C8A6FC8A1}"/>
    <cellStyle name="40% - akcent 5 22" xfId="867" xr:uid="{B177032C-8595-4DAC-A49E-93500959AF88}"/>
    <cellStyle name="40% - akcent 5 22 2" xfId="2945" xr:uid="{0BFCC4CC-84D9-4149-A0CD-0FAF7583B2B4}"/>
    <cellStyle name="40% - akcent 5 23" xfId="868" xr:uid="{70A8724B-7FA5-423D-BAFA-78AC174D518A}"/>
    <cellStyle name="40% - akcent 5 23 2" xfId="3048" xr:uid="{9ED8EBD5-FB8B-4EA6-ABF7-2C2BB5098BA2}"/>
    <cellStyle name="40% - akcent 5 24" xfId="869" xr:uid="{B54A6413-D857-47DD-9870-B8B85E99DB09}"/>
    <cellStyle name="40% - akcent 5 24 2" xfId="2809" xr:uid="{CDC7A030-1CE7-4B99-B141-0552DFC1694B}"/>
    <cellStyle name="40% - akcent 5 25" xfId="870" xr:uid="{E5155FDF-1F93-4792-A2F1-E48EF56771DD}"/>
    <cellStyle name="40% - akcent 5 25 2" xfId="2708" xr:uid="{7B5ADF41-36AD-4189-800E-0DDA78982FF4}"/>
    <cellStyle name="40% - akcent 5 26" xfId="871" xr:uid="{38CE6E68-1229-4CD0-B942-151B92662E7D}"/>
    <cellStyle name="40% - akcent 5 26 2" xfId="2747" xr:uid="{76D6CBAE-E003-47D7-A321-E448671A168A}"/>
    <cellStyle name="40% - akcent 5 27" xfId="872" xr:uid="{B8C6017B-679A-44B1-B2C8-96D53D544E06}"/>
    <cellStyle name="40% - akcent 5 27 2" xfId="2730" xr:uid="{EB5EAF9D-0075-4371-99F5-2A3792C47796}"/>
    <cellStyle name="40% - akcent 5 28" xfId="873" xr:uid="{65FDC26F-4985-4CAB-B04D-A5A203F39D8C}"/>
    <cellStyle name="40% - akcent 5 28 2" xfId="2735" xr:uid="{A9885F1C-6BBF-49EC-95AC-F5B11383368C}"/>
    <cellStyle name="40% - akcent 5 29" xfId="874" xr:uid="{6EEB8EEB-6D2E-4D62-B8FA-92310FE8599C}"/>
    <cellStyle name="40% - akcent 5 29 2" xfId="2872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23" xr:uid="{D26C4206-4A57-42AB-B4F3-760CA85C2DBF}"/>
    <cellStyle name="40% - akcent 5 30" xfId="877" xr:uid="{B7918CFE-3834-41DB-9967-A79D4431C915}"/>
    <cellStyle name="40% - akcent 5 30 2" xfId="3054" xr:uid="{F7944C6C-5F08-473A-ACB6-061817BD93B9}"/>
    <cellStyle name="40% - akcent 5 31" xfId="878" xr:uid="{DDF4C999-6A6E-4D97-9490-E2B9A97D214F}"/>
    <cellStyle name="40% - akcent 5 31 2" xfId="2596" xr:uid="{7ED95ED4-0AF6-45E9-B000-525F6AB803B4}"/>
    <cellStyle name="40% - akcent 5 32" xfId="879" xr:uid="{DEE96BC2-8A7D-4FBE-93A5-8B7431E60CEC}"/>
    <cellStyle name="40% - akcent 5 32 2" xfId="2973" xr:uid="{1296DF1A-8601-4A2F-8BCB-B93F3080B3F4}"/>
    <cellStyle name="40% - akcent 5 33" xfId="880" xr:uid="{7420617A-9631-4515-852B-3554383ADB24}"/>
    <cellStyle name="40% - akcent 5 33 2" xfId="2634" xr:uid="{F58E1773-A11C-4A22-82A7-03A9DCD9D43B}"/>
    <cellStyle name="40% - akcent 5 34" xfId="881" xr:uid="{A756EC0F-E0E3-4725-BA65-25E1BF6550CE}"/>
    <cellStyle name="40% - akcent 5 34 2" xfId="2766" xr:uid="{04DB094B-57C3-40FF-9297-89DEB2B3E250}"/>
    <cellStyle name="40% - akcent 5 35" xfId="882" xr:uid="{2DA127B7-5E51-4C12-85FA-24CDDC90619C}"/>
    <cellStyle name="40% - akcent 5 35 2" xfId="2722" xr:uid="{52EBB713-C583-461C-961D-9ABFB106A812}"/>
    <cellStyle name="40% - akcent 5 36" xfId="883" xr:uid="{FE07E56E-2743-422D-9C44-E3329FD3842F}"/>
    <cellStyle name="40% - akcent 5 36 2" xfId="2740" xr:uid="{A426A70B-258A-46A2-B39A-9C9348FB9A6F}"/>
    <cellStyle name="40% - akcent 5 37" xfId="884" xr:uid="{26BA7102-A5DC-470D-8445-BBE60ABBC7EA}"/>
    <cellStyle name="40% - akcent 5 37 2" xfId="3011" xr:uid="{3C3EBF29-8293-434E-8DF4-EDE7177D4CA6}"/>
    <cellStyle name="40% - akcent 5 38" xfId="885" xr:uid="{A646EFEC-8525-4B4F-ACA9-DBDE8EECF3AF}"/>
    <cellStyle name="40% - akcent 5 38 2" xfId="2621" xr:uid="{64C42016-1621-43D4-9810-514916738ACD}"/>
    <cellStyle name="40% - akcent 5 39" xfId="886" xr:uid="{48798837-F992-42E8-AA04-858B838E6FDB}"/>
    <cellStyle name="40% - akcent 5 39 2" xfId="2768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395" xr:uid="{E0176DB4-E3B0-4F79-80B5-3610358D3C03}"/>
    <cellStyle name="40% - akcent 5 40" xfId="889" xr:uid="{2E7BE026-E03C-40CA-A8B3-D5FC12DF6C8C}"/>
    <cellStyle name="40% - akcent 5 40 2" xfId="3008" xr:uid="{A7FDD4AE-0901-4C92-82FC-A6A6453EA139}"/>
    <cellStyle name="40% - akcent 5 41" xfId="890" xr:uid="{E9BB8E05-0C09-4024-9535-7946AD3CA77B}"/>
    <cellStyle name="40% - akcent 5 41 2" xfId="2815" xr:uid="{5E162DE7-C366-4868-B761-8559A2ECD0BF}"/>
    <cellStyle name="40% - akcent 5 42" xfId="891" xr:uid="{53E0F6AC-4248-444B-982E-7ED6C9EE8ED4}"/>
    <cellStyle name="40% - akcent 5 42 2" xfId="2946" xr:uid="{7BFAC5D5-F673-4348-BE0E-5A3715F7F7A5}"/>
    <cellStyle name="40% - akcent 5 43" xfId="892" xr:uid="{E6D5ABDF-6C45-4884-A1CD-38C7A3C69417}"/>
    <cellStyle name="40% - akcent 5 43 2" xfId="2832" xr:uid="{65BE80F0-1B6D-4632-850C-945FF9A68481}"/>
    <cellStyle name="40% - akcent 5 44" xfId="893" xr:uid="{7249A462-53D0-4EAF-816C-25FA369A549B}"/>
    <cellStyle name="40% - akcent 5 44 2" xfId="3219" xr:uid="{01C013FA-719F-4F7C-B643-2DB022EC02C1}"/>
    <cellStyle name="40% - akcent 5 45" xfId="894" xr:uid="{CA745B55-2178-4219-9ED8-3EA10E6C2549}"/>
    <cellStyle name="40% - akcent 5 45 2" xfId="3274" xr:uid="{A686FAF7-C0BF-4A57-AE0F-EE8EC3749170}"/>
    <cellStyle name="40% - akcent 5 46" xfId="895" xr:uid="{C23265C1-3ADF-4A34-AE59-A60FF44C2E21}"/>
    <cellStyle name="40% - akcent 5 46 2" xfId="3251" xr:uid="{95039B0D-EB95-42E4-860C-70855DE42BB8}"/>
    <cellStyle name="40% - akcent 5 47" xfId="896" xr:uid="{B0524CE1-19F9-4FEA-975A-EAEF1F263E84}"/>
    <cellStyle name="40% - akcent 5 47 2" xfId="3283" xr:uid="{2E1EF866-ED16-439A-B905-965C4DFE9422}"/>
    <cellStyle name="40% - akcent 5 48" xfId="897" xr:uid="{05D2FAFE-7B37-4447-90F6-CF73406FFDCA}"/>
    <cellStyle name="40% - akcent 5 48 2" xfId="3301" xr:uid="{C432D6BF-F7BE-44B7-9E8E-9CB60D2E5D6E}"/>
    <cellStyle name="40% - akcent 5 49" xfId="898" xr:uid="{58658724-327C-4BFC-B3B0-C6938DF3913C}"/>
    <cellStyle name="40% - akcent 5 49 2" xfId="3232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47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78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27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17" xr:uid="{4B5D23E1-5E2A-4990-A039-89CF0AF22604}"/>
    <cellStyle name="40% - akcent 5 9" xfId="907" xr:uid="{0487E70D-4068-4B5B-B587-BC185A8AE7FE}"/>
    <cellStyle name="40% - akcent 5 9 2" xfId="2641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AC55C526-476F-4430-AAEC-0026379507D7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IMPORT" xfId="3420" xr:uid="{29F2331E-1198-4412-A937-FB71F0EA75BF}"/>
    <cellStyle name="40% — akcent 5_IMPORT" xfId="3421" xr:uid="{9706AAED-D111-40D2-9264-3B41D2DA6F93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IMPORT" xfId="3425" xr:uid="{8763A3DA-B547-4F42-AFE2-E2236113548E}"/>
    <cellStyle name="40% — akcent 5_slownik_1_IMPORT" xfId="3426" xr:uid="{D9E6C5B1-A4F9-482F-A72E-8DD19E8FC287}"/>
    <cellStyle name="40% - akcent 5_slownik_1_slownik" xfId="3592" xr:uid="{3925E89D-DDD4-4901-A7B0-D8CCDD1DAB84}"/>
    <cellStyle name="40% — akcent 5_slownik_1_slownik" xfId="3593" xr:uid="{75436716-FB2E-4F96-B05A-4AB6112F66CE}"/>
    <cellStyle name="40% - akcent 5_slownik_2" xfId="3427" xr:uid="{4EFD06CB-F4A3-43B7-83BC-C7758D080CB2}"/>
    <cellStyle name="40% — akcent 5_slownik_2" xfId="3428" xr:uid="{6D882429-E1FC-47C2-910C-0A241B7FA832}"/>
    <cellStyle name="40% - akcent 5_slownik_3" xfId="3594" xr:uid="{099329EF-E4C1-4326-8F06-28CA5C9FF362}"/>
    <cellStyle name="40% — akcent 5_slownik_3" xfId="3595" xr:uid="{EAA36429-87F0-4CB1-A15E-575E2D1325F6}"/>
    <cellStyle name="40% - akcent 5_slownik_IMPORT" xfId="3423" xr:uid="{D6A0214D-F715-4FA1-AE8E-E3842DC07D49}"/>
    <cellStyle name="40% — akcent 5_slownik_IMPORT" xfId="3424" xr:uid="{7DEDEA4B-9D8F-427E-9064-85EEFA9E1C5A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76" xr:uid="{3ADE631F-7726-4734-A25A-FB0A621E7CAA}"/>
    <cellStyle name="40% - akcent 6 11" xfId="923" xr:uid="{5BAED472-AFF3-4C80-B115-E7E0A2402D30}"/>
    <cellStyle name="40% - akcent 6 11 2" xfId="2919" xr:uid="{17CC5C23-81C8-4885-92C7-57C8571B963E}"/>
    <cellStyle name="40% - akcent 6 12" xfId="924" xr:uid="{48F3BBB0-14EE-4262-BF07-D6846BDDDE15}"/>
    <cellStyle name="40% - akcent 6 12 2" xfId="2924" xr:uid="{A9CAFAB9-953B-40AF-9F78-E58040CB9CBF}"/>
    <cellStyle name="40% - akcent 6 13" xfId="925" xr:uid="{23342F56-DDF6-4658-A24B-54C089BF5F71}"/>
    <cellStyle name="40% - akcent 6 13 2" xfId="2660" xr:uid="{D6397406-0584-4648-B5AA-97F7F338254A}"/>
    <cellStyle name="40% - akcent 6 14" xfId="926" xr:uid="{3D8CA6D0-C220-45C2-81F0-C88DA712947E}"/>
    <cellStyle name="40% - akcent 6 14 2" xfId="2989" xr:uid="{B26F796E-6240-4606-AB1D-7D43AE487CE3}"/>
    <cellStyle name="40% - akcent 6 15" xfId="927" xr:uid="{8CFAA768-B258-4B65-B748-2219D230C65B}"/>
    <cellStyle name="40% - akcent 6 15 2" xfId="3044" xr:uid="{CDBC8044-8F5C-48F2-A732-A621D803665E}"/>
    <cellStyle name="40% - akcent 6 16" xfId="928" xr:uid="{6602BC57-E9FE-4D1B-B11B-17A2DE309BE4}"/>
    <cellStyle name="40% - akcent 6 16 2" xfId="2913" xr:uid="{DA193823-E473-48B7-A1E9-E07B7C288EB2}"/>
    <cellStyle name="40% - akcent 6 17" xfId="929" xr:uid="{C36F36F6-C740-412F-9E21-D51A7B92394E}"/>
    <cellStyle name="40% - akcent 6 17 2" xfId="2667" xr:uid="{A8BD5868-001C-4BBA-9680-F14C91033537}"/>
    <cellStyle name="40% - akcent 6 18" xfId="930" xr:uid="{B3856B8D-F565-456E-A00F-CE0C0C49C7A7}"/>
    <cellStyle name="40% - akcent 6 18 2" xfId="3022" xr:uid="{12FDE018-7EF0-4910-AE71-79F6EA6446BD}"/>
    <cellStyle name="40% - akcent 6 19" xfId="931" xr:uid="{CB617E60-576D-4B86-B4F1-E0849CE32344}"/>
    <cellStyle name="40% - akcent 6 19 2" xfId="2613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64" xr:uid="{89723935-2921-40CB-A67A-14C97E5DCB59}"/>
    <cellStyle name="40% - akcent 6 2 2 2" xfId="2467" xr:uid="{726AED51-CB8A-4465-8CB7-E71E3F419470}"/>
    <cellStyle name="40% - akcent 6 2 3" xfId="935" xr:uid="{55752C4C-8A8C-4376-ADC0-C8639497E98F}"/>
    <cellStyle name="40% - akcent 6 2 3 2" xfId="2449" xr:uid="{541E474E-F8C1-4D8B-8612-7E11726E13BA}"/>
    <cellStyle name="40% - akcent 6 2 4" xfId="2281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33" xr:uid="{F90CF1E4-15E3-405C-B4B6-6F645DD3A6C2}"/>
    <cellStyle name="40% - akcent 6 21" xfId="939" xr:uid="{D08BF4D3-F24E-4337-8EBB-24D573BB13A8}"/>
    <cellStyle name="40% - akcent 6 21 2" xfId="2606" xr:uid="{DD9E2EFB-E01B-410F-88E6-96B3A0A946EC}"/>
    <cellStyle name="40% - akcent 6 22" xfId="940" xr:uid="{C4FE9F7F-3162-47A7-8186-7EE0637DB08C}"/>
    <cellStyle name="40% - akcent 6 22 2" xfId="2972" xr:uid="{FDA02FEE-8D54-4A95-BC72-9411F3BCCB45}"/>
    <cellStyle name="40% - akcent 6 23" xfId="941" xr:uid="{1F106704-FDB0-407B-8CDE-560C29B62B7E}"/>
    <cellStyle name="40% - akcent 6 23 2" xfId="2636" xr:uid="{14B471E3-AF7B-4E15-AAD8-CBB8FCDE0095}"/>
    <cellStyle name="40% - akcent 6 24" xfId="942" xr:uid="{1864D5E4-1F67-41D9-BF19-6B5EEEBD661A}"/>
    <cellStyle name="40% - akcent 6 24 2" xfId="2764" xr:uid="{5E28C128-EA29-4350-82BB-7DEBE8F1FE02}"/>
    <cellStyle name="40% - akcent 6 25" xfId="943" xr:uid="{9B82F732-6440-4653-BC15-230BBA70E67A}"/>
    <cellStyle name="40% - akcent 6 25 2" xfId="2864" xr:uid="{70610B0C-E01C-4A6D-B99F-8CCC2BCC9C45}"/>
    <cellStyle name="40% - akcent 6 26" xfId="944" xr:uid="{F4CB726F-0CBF-4D50-B07F-189354AEF715}"/>
    <cellStyle name="40% - akcent 6 26 2" xfId="2687" xr:uid="{D219C913-1053-4FBB-AB43-B635E3E23B79}"/>
    <cellStyle name="40% - akcent 6 27" xfId="945" xr:uid="{4F7542CD-5785-4BBF-AB33-FDE22F3E48C7}"/>
    <cellStyle name="40% - akcent 6 27 2" xfId="2754" xr:uid="{9CB1BABC-5423-4475-BBF0-53FBB6549BB7}"/>
    <cellStyle name="40% - akcent 6 28" xfId="946" xr:uid="{D7325C50-9206-48FC-B700-BDE2CFD4F470}"/>
    <cellStyle name="40% - akcent 6 28 2" xfId="3009" xr:uid="{64AE3BBA-A456-4A8C-A16A-EF88C7F8CD2E}"/>
    <cellStyle name="40% - akcent 6 29" xfId="947" xr:uid="{7473C46A-5195-43C8-836D-20DE1E7FBB3D}"/>
    <cellStyle name="40% - akcent 6 29 2" xfId="2814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24" xr:uid="{E55F6B4F-CE94-46CB-92F6-68AEFC1A91E9}"/>
    <cellStyle name="40% - akcent 6 30" xfId="950" xr:uid="{DD608B60-522F-43C3-A2F3-4E81600EAB67}"/>
    <cellStyle name="40% - akcent 6 30 2" xfId="2947" xr:uid="{B308501A-1B1C-4AB0-9139-2C7108D6CC2D}"/>
    <cellStyle name="40% - akcent 6 31" xfId="951" xr:uid="{2F60333A-6A99-4624-8098-38F521A1C46E}"/>
    <cellStyle name="40% - akcent 6 31 2" xfId="2650" xr:uid="{43CE428C-E763-4202-905D-44D6155A9775}"/>
    <cellStyle name="40% - akcent 6 32" xfId="952" xr:uid="{3C90FC65-B704-4D94-849D-97E05A0C3110}"/>
    <cellStyle name="40% - akcent 6 32 2" xfId="2792" xr:uid="{233E72BE-79B1-4CC4-A868-04544FD92B88}"/>
    <cellStyle name="40% - akcent 6 33" xfId="953" xr:uid="{783B91DE-3752-490F-B9FB-79DE4744CC9C}"/>
    <cellStyle name="40% - akcent 6 33 2" xfId="2955" xr:uid="{0998D8C4-80CE-4CBA-83F4-46935039301B}"/>
    <cellStyle name="40% - akcent 6 34" xfId="954" xr:uid="{34E4C114-2E0B-4B17-9F35-FE6142750B35}"/>
    <cellStyle name="40% - akcent 6 34 2" xfId="2644" xr:uid="{B1CC34E1-1B2A-48FD-94E4-0DDB04A4A436}"/>
    <cellStyle name="40% - akcent 6 35" xfId="955" xr:uid="{6800E1D5-473E-456B-9D87-471711899272}"/>
    <cellStyle name="40% - akcent 6 35 2" xfId="2990" xr:uid="{295C3CD2-FEB7-4D67-B19B-A8AAE7555C6C}"/>
    <cellStyle name="40% - akcent 6 36" xfId="956" xr:uid="{6F074C14-7279-4839-840A-8841271B0C0F}"/>
    <cellStyle name="40% - akcent 6 36 2" xfId="2827" xr:uid="{2EF22D4C-388B-439F-8FE7-B923CA03CC4F}"/>
    <cellStyle name="40% - akcent 6 37" xfId="957" xr:uid="{1B7B60E6-534D-4897-AF01-6E4FA0385557}"/>
    <cellStyle name="40% - akcent 6 37 2" xfId="2939" xr:uid="{A0598169-B3D1-489B-9C0B-30219D82CF72}"/>
    <cellStyle name="40% - akcent 6 38" xfId="958" xr:uid="{61CFE940-2A57-4F5D-A7CC-688F5FF88ED3}"/>
    <cellStyle name="40% - akcent 6 38 2" xfId="2654" xr:uid="{84748F3B-5C8B-419A-AA56-83BAADEFA7B7}"/>
    <cellStyle name="40% - akcent 6 39" xfId="959" xr:uid="{DC1FC72C-9853-4D0E-95E9-38A703B6545A}"/>
    <cellStyle name="40% - akcent 6 39 2" xfId="3069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396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1" xr:uid="{BBF3F797-1F0B-4C19-AB98-89EC900DF72C}"/>
    <cellStyle name="40% - akcent 6 41" xfId="965" xr:uid="{9BF93536-021D-42D7-82B6-7682AE948C22}"/>
    <cellStyle name="40% - akcent 6 41 2" xfId="2895" xr:uid="{F8CCF163-BB08-4928-82C9-FBD9C82EE375}"/>
    <cellStyle name="40% - akcent 6 42" xfId="966" xr:uid="{3C30B176-7481-4F39-8534-04D71EA6A753}"/>
    <cellStyle name="40% - akcent 6 42 2" xfId="2672" xr:uid="{9F42B4DB-F449-42CB-87FA-9C4C223207E7}"/>
    <cellStyle name="40% - akcent 6 43" xfId="967" xr:uid="{63E6C262-B169-4062-B2EF-2A5171CCF15C}"/>
    <cellStyle name="40% - akcent 6 43 2" xfId="2574" xr:uid="{60965754-56D5-455E-B83E-785E9540ADCC}"/>
    <cellStyle name="40% - akcent 6 44" xfId="968" xr:uid="{6BCC35BA-20EC-4783-BA71-B5FA11DED716}"/>
    <cellStyle name="40% - akcent 6 44 2" xfId="3220" xr:uid="{EB9F9C2B-184F-410C-B253-5CCD49F64795}"/>
    <cellStyle name="40% - akcent 6 45" xfId="969" xr:uid="{92E6D4BF-BB89-4F0F-BA24-12C62FB43F7A}"/>
    <cellStyle name="40% - akcent 6 45 2" xfId="3247" xr:uid="{20405C6B-7D00-4048-A273-7EB7DC679BB6}"/>
    <cellStyle name="40% - akcent 6 46" xfId="970" xr:uid="{4DAB734E-FE68-447A-B4C8-DB1E2125CBA5}"/>
    <cellStyle name="40% - akcent 6 46 2" xfId="3206" xr:uid="{810BC89E-B198-4863-B2E4-0997FFE0C6A1}"/>
    <cellStyle name="40% - akcent 6 47" xfId="971" xr:uid="{D9AEC642-BE3C-4C2C-8EDF-C676A154D619}"/>
    <cellStyle name="40% - akcent 6 47 2" xfId="3310" xr:uid="{0B1F899D-C046-4382-8E38-3CD28A01BB9F}"/>
    <cellStyle name="40% - akcent 6 48" xfId="972" xr:uid="{19DD4EDB-D73E-4B36-862F-58D8DFA225CF}"/>
    <cellStyle name="40% - akcent 6 48 2" xfId="3250" xr:uid="{2D5FBC6E-86BE-4C14-AE3B-91ADBCACC355}"/>
    <cellStyle name="40% - akcent 6 49" xfId="973" xr:uid="{21220615-E68E-4F34-A245-0C1F63E28C04}"/>
    <cellStyle name="40% - akcent 6 49 2" xfId="3230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48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0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28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18" xr:uid="{F6B5149F-E1EA-4C79-92C6-58B723560965}"/>
    <cellStyle name="40% - akcent 6 9" xfId="986" xr:uid="{A8ED02EB-42F3-4F51-ABCB-33C040DB7295}"/>
    <cellStyle name="40% - akcent 6 9 2" xfId="2648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31" xr:uid="{C20977D6-8D55-49EC-B6C1-79877392FAE9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IMPORT" xfId="3429" xr:uid="{0914EA4C-1B51-4A42-BB73-F18564AD761A}"/>
    <cellStyle name="40% — akcent 6_IMPORT" xfId="3430" xr:uid="{088D3F66-C6AB-4684-9747-355143D28CDF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IMPORT" xfId="3433" xr:uid="{8CC2D258-2EE8-41AE-8948-FE77FCB5128E}"/>
    <cellStyle name="40% — akcent 6_slownik_1_slownik" xfId="3596" xr:uid="{95DE9379-602B-48D7-AF0C-173541FF3EFD}"/>
    <cellStyle name="40% - akcent 6_slownik_2" xfId="3434" xr:uid="{F7F079F1-E79F-4143-8AE2-DB077F085748}"/>
    <cellStyle name="40% — akcent 6_slownik_2" xfId="3435" xr:uid="{18D43358-F6C3-40D0-9A16-7F17D3632865}"/>
    <cellStyle name="40% - akcent 6_slownik_3" xfId="3597" xr:uid="{8FC12FD0-1A91-4064-8C61-B4E7A9FCDF33}"/>
    <cellStyle name="40% — akcent 6_slownik_3" xfId="3598" xr:uid="{EBF01712-C3E6-4077-8348-7D5F3CC0F558}"/>
    <cellStyle name="40% - akcent 6_slownik_IMPORT" xfId="3432" xr:uid="{FCB644DA-F29F-4591-A678-BE4D1AB3A55F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85" xr:uid="{1BC6E420-10C8-456A-92E9-F9CE0D998770}"/>
    <cellStyle name="60% - akcent 1 11" xfId="1028" xr:uid="{C5D17F77-FA62-4E58-91EB-B7135B63E9A1}"/>
    <cellStyle name="60% - akcent 1 11 2" xfId="2902" xr:uid="{E00577D4-76B0-49E9-9D96-19EB9C8598E6}"/>
    <cellStyle name="60% - akcent 1 12" xfId="1029" xr:uid="{E3B334E7-2FE8-4CFC-8B37-671C8DF5033E}"/>
    <cellStyle name="60% - akcent 1 12 2" xfId="3051" xr:uid="{5EB3C012-D9E7-4558-BC14-8666DFED66F0}"/>
    <cellStyle name="60% - akcent 1 13" xfId="1030" xr:uid="{8B940101-331D-45A3-950C-BCE54F16B3AD}"/>
    <cellStyle name="60% - akcent 1 13 2" xfId="3025" xr:uid="{DE10E73B-9654-47B8-A7B7-BF36F3DE18A7}"/>
    <cellStyle name="60% - akcent 1 14" xfId="1031" xr:uid="{03A6055D-E4AF-42DD-BA93-E324753D914C}"/>
    <cellStyle name="60% - akcent 1 14 2" xfId="2996" xr:uid="{3A104F33-F2B4-4FA0-A43F-FA6896DF3A9C}"/>
    <cellStyle name="60% - akcent 1 15" xfId="1032" xr:uid="{FE46FCC9-C0E5-445B-9D3D-B629F394F2B8}"/>
    <cellStyle name="60% - akcent 1 15 2" xfId="2825" xr:uid="{11128824-EBCC-4BE4-848F-2DCEE162165D}"/>
    <cellStyle name="60% - akcent 1 16" xfId="1033" xr:uid="{B7349728-A444-4DF8-80C2-9E9F37F88066}"/>
    <cellStyle name="60% - akcent 1 16 2" xfId="2941" xr:uid="{2650D737-B500-41C6-B57F-1AAE8A5E280B}"/>
    <cellStyle name="60% - akcent 1 17" xfId="1034" xr:uid="{927215E7-A299-4599-A8C9-C12FB70A2390}"/>
    <cellStyle name="60% - akcent 1 17 2" xfId="2922" xr:uid="{7B701A96-5A26-40BD-984C-67BB9D2DC570}"/>
    <cellStyle name="60% - akcent 1 18" xfId="1035" xr:uid="{26D2DDC2-CF68-40DC-BFAF-332BDCEAE661}"/>
    <cellStyle name="60% - akcent 1 18 2" xfId="2923" xr:uid="{72CEC4C2-9B26-47EF-B172-01E5B7F1EF89}"/>
    <cellStyle name="60% - akcent 1 19" xfId="1036" xr:uid="{3BDAA27F-E83D-4A18-A610-5698FC27436E}"/>
    <cellStyle name="60% - akcent 1 19 2" xfId="2661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65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1" xr:uid="{7B7A099D-B05C-453A-970B-DB21E2D2070F}"/>
    <cellStyle name="60% - akcent 1 21" xfId="1043" xr:uid="{A0192441-427F-480F-957D-67795EEDD41C}"/>
    <cellStyle name="60% - akcent 1 21 2" xfId="2804" xr:uid="{FEFAABBF-221F-480C-AF58-5D0A5AB1772D}"/>
    <cellStyle name="60% - akcent 1 22" xfId="1044" xr:uid="{1DCB3BEF-27AE-44F1-B244-25803F1DBA99}"/>
    <cellStyle name="60% - akcent 1 22 2" xfId="2710" xr:uid="{DFE90459-FB29-429C-B4EF-14138E4CFA38}"/>
    <cellStyle name="60% - akcent 1 23" xfId="1045" xr:uid="{1EA4B614-5FF7-437E-895A-12355C4902B9}"/>
    <cellStyle name="60% - akcent 1 23 2" xfId="3013" xr:uid="{5847C624-E575-439D-839E-5798A2B8D14C}"/>
    <cellStyle name="60% - akcent 1 24" xfId="1046" xr:uid="{B209E7D1-2B14-4704-8BB4-6D73DE471658}"/>
    <cellStyle name="60% - akcent 1 24 2" xfId="2619" xr:uid="{F59E6D7B-F6FC-48B0-98A7-661E190D0558}"/>
    <cellStyle name="60% - akcent 1 25" xfId="1047" xr:uid="{E6DB11F4-D21A-4984-B551-9D1C9E1432EF}"/>
    <cellStyle name="60% - akcent 1 25 2" xfId="2770" xr:uid="{F4F236A5-9C23-48AB-959D-57007519EEAE}"/>
    <cellStyle name="60% - akcent 1 26" xfId="1048" xr:uid="{7DDAF56B-068A-447A-8D75-4B60B0CFA250}"/>
    <cellStyle name="60% - akcent 1 26 2" xfId="2863" xr:uid="{C3BF8EF6-3F1A-43C7-A7E0-869C75F071E7}"/>
    <cellStyle name="60% - akcent 1 27" xfId="1049" xr:uid="{D1C00127-2722-4021-9C58-9365120E6711}"/>
    <cellStyle name="60% - akcent 1 27 2" xfId="3056" xr:uid="{3D32A7FB-7AAD-4C42-A835-7F36C0FB9EE7}"/>
    <cellStyle name="60% - akcent 1 28" xfId="1050" xr:uid="{AB5EC810-6E3A-4F97-AACA-BA0706709B0F}"/>
    <cellStyle name="60% - akcent 1 28 2" xfId="2593" xr:uid="{2B40B2D0-AB4B-4F57-BBAE-B74A2E67456D}"/>
    <cellStyle name="60% - akcent 1 29" xfId="1051" xr:uid="{1924E400-F811-437C-B928-5233A1A1A20B}"/>
    <cellStyle name="60% - akcent 1 29 2" xfId="2781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88" xr:uid="{65E43C56-2A5B-424C-861B-E1E1BBA69550}"/>
    <cellStyle name="60% - akcent 1 31" xfId="1055" xr:uid="{3C73AA10-8091-47BB-BE44-5A46F05930EC}"/>
    <cellStyle name="60% - akcent 1 31 2" xfId="2916" xr:uid="{3D1C3F39-8B3F-4EA7-9E97-539CC8DB280E}"/>
    <cellStyle name="60% - akcent 1 32" xfId="1056" xr:uid="{7062D0D9-30E6-4C57-AD02-0C8087BC3D8B}"/>
    <cellStyle name="60% - akcent 1 32 2" xfId="2664" xr:uid="{2C1D8AAB-6A38-4288-89E9-5E75709A286D}"/>
    <cellStyle name="60% - akcent 1 33" xfId="1057" xr:uid="{BCD541A6-9811-4D77-AC9B-575A8C410CFC}"/>
    <cellStyle name="60% - akcent 1 33 2" xfId="2899" xr:uid="{D816995D-2068-4F11-B3C5-082B35D04D42}"/>
    <cellStyle name="60% - akcent 1 34" xfId="1058" xr:uid="{E17DC649-9FB1-4391-B137-27F38C0DCD32}"/>
    <cellStyle name="60% - akcent 1 34 2" xfId="2671" xr:uid="{DF5CE9EA-09B6-48F5-8241-306A366E2040}"/>
    <cellStyle name="60% - akcent 1 35" xfId="1059" xr:uid="{BD3EABDF-F7F5-4C9B-965A-D9B4E05FF936}"/>
    <cellStyle name="60% - akcent 1 35 2" xfId="3083" xr:uid="{48B20C22-D34E-4A67-B311-82B7CAADB9DC}"/>
    <cellStyle name="60% - akcent 1 36" xfId="1060" xr:uid="{18B325B5-C201-4FFA-9E8E-A63F2B1F5ECA}"/>
    <cellStyle name="60% - akcent 1 36 2" xfId="3035" xr:uid="{5676D1BA-25CF-4585-AB01-0DC1B2C0433A}"/>
    <cellStyle name="60% - akcent 1 37" xfId="1061" xr:uid="{17FFA573-1060-4C83-B3B2-22F1B6191960}"/>
    <cellStyle name="60% - akcent 1 37 2" xfId="2811" xr:uid="{7EE6A88A-0EDA-4DE6-9A39-62BC103669EE}"/>
    <cellStyle name="60% - akcent 1 38" xfId="1062" xr:uid="{AF828F3F-B341-455D-A82E-FF0680E10666}"/>
    <cellStyle name="60% - akcent 1 38 2" xfId="2856" xr:uid="{BAFA0B04-C63E-4ECD-89B1-1162704D929E}"/>
    <cellStyle name="60% - akcent 1 39" xfId="1063" xr:uid="{D785691A-7D78-453B-8605-59E405B1AE65}"/>
    <cellStyle name="60% - akcent 1 39 2" xfId="2694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68" xr:uid="{65ED12A9-504E-4F77-8D0F-07DF3BF12929}"/>
    <cellStyle name="60% - akcent 1 41" xfId="1068" xr:uid="{4CFB8D4F-F38D-4108-BF60-58255541656D}"/>
    <cellStyle name="60% - akcent 1 41 2" xfId="3105" xr:uid="{51AC9D97-C4A4-4100-8B3E-2D7013FCED9D}"/>
    <cellStyle name="60% - akcent 1 42" xfId="1069" xr:uid="{7CE13947-7196-46DE-A9FE-1F368DB84A0A}"/>
    <cellStyle name="60% - akcent 1 42 2" xfId="3111" xr:uid="{53B976D1-BB76-41A8-8791-738B7FA1142C}"/>
    <cellStyle name="60% - akcent 1 43" xfId="1070" xr:uid="{6A3B60D4-AAE1-40EA-8BC4-9ABA9DE22062}"/>
    <cellStyle name="60% - akcent 1 43 2" xfId="3117" xr:uid="{0CEAFF21-5668-49BE-8303-4A5277A07EB4}"/>
    <cellStyle name="60% - akcent 1 44" xfId="1071" xr:uid="{8C53A8A8-A7B1-4BFD-8F96-4030005BA0FC}"/>
    <cellStyle name="60% - akcent 1 44 2" xfId="3223" xr:uid="{78B4F994-B239-4D33-B413-DAA48F3D6351}"/>
    <cellStyle name="60% - akcent 1 45" xfId="1072" xr:uid="{8D9BE199-A192-494F-8F63-A90B92BC51D0}"/>
    <cellStyle name="60% - akcent 1 45 2" xfId="3275" xr:uid="{904873C3-4459-44AF-96C2-315E40AB9DF5}"/>
    <cellStyle name="60% - akcent 1 46" xfId="1073" xr:uid="{9281ED0E-6C6B-4F58-9521-A41C93D69BF8}"/>
    <cellStyle name="60% - akcent 1 46 2" xfId="3308" xr:uid="{13FD294D-3CFA-4B76-B523-38781BF28663}"/>
    <cellStyle name="60% - akcent 1 47" xfId="1074" xr:uid="{F08B56E8-0B3E-48CE-AC17-1F6489AB1C10}"/>
    <cellStyle name="60% - akcent 1 47 2" xfId="3279" xr:uid="{33E8F7D9-204B-4CD1-A9B4-7BF7136111C4}"/>
    <cellStyle name="60% - akcent 1 48" xfId="1075" xr:uid="{652B6E89-7CB1-4D19-92BF-BBB5E5B984B2}"/>
    <cellStyle name="60% - akcent 1 48 2" xfId="3267" xr:uid="{13F2ABE8-6B02-436A-8B65-47B28799EB4D}"/>
    <cellStyle name="60% - akcent 1 49" xfId="1076" xr:uid="{9D38212E-582A-42C4-999A-682667C998AF}"/>
    <cellStyle name="60% - akcent 1 49 2" xfId="3252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82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19" xr:uid="{3330A114-2A08-47BB-AF0A-D373A8A0B2FA}"/>
    <cellStyle name="60% - akcent 1 9" xfId="1086" xr:uid="{5A850C82-9F8B-4EB7-90D7-3E316F4DC788}"/>
    <cellStyle name="60% - akcent 1 9 2" xfId="2658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8" xr:uid="{26AF11D6-6228-4390-94E1-90E44B79F3EA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IMPORT" xfId="3436" xr:uid="{03FBA3EA-BE67-496C-8E9D-EED3D04AA8D0}"/>
    <cellStyle name="60% — akcent 1_IMPORT" xfId="3437" xr:uid="{4712ADE8-55DC-4B4B-B921-DB7199018BCF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IMPORT" xfId="3440" xr:uid="{896097E9-60C8-4E80-A982-8E81C2197E85}"/>
    <cellStyle name="60% — akcent 1_slownik_1_slownik" xfId="3599" xr:uid="{02311628-0517-4A65-A416-D043DEC746F1}"/>
    <cellStyle name="60% - akcent 1_slownik_2" xfId="3441" xr:uid="{E8172E20-3E1D-4D75-8869-4875521FF32A}"/>
    <cellStyle name="60% — akcent 1_slownik_2" xfId="3442" xr:uid="{6BB4A924-D3B8-4E1F-BCF6-3D89C3E3C571}"/>
    <cellStyle name="60% - akcent 1_slownik_3" xfId="3600" xr:uid="{9DFCCDA9-3AB4-48D1-AAD3-8E560C7E8BAE}"/>
    <cellStyle name="60% — akcent 1_slownik_3" xfId="3601" xr:uid="{5A0B5CB7-E03B-4439-9534-46F295B116BE}"/>
    <cellStyle name="60% - akcent 1_slownik_IMPORT" xfId="3439" xr:uid="{785F1FFA-1D54-4F01-B796-53E23C6B8640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0" xr:uid="{BD2182EE-EE1E-477E-B6AD-341F834EBD85}"/>
    <cellStyle name="60% - akcent 2 11" xfId="1106" xr:uid="{AA2993FB-42E5-4F6B-BE14-57DCAAE09CCD}"/>
    <cellStyle name="60% - akcent 2 11 2" xfId="2957" xr:uid="{77624E05-93F4-4330-B214-5C0F8B800E18}"/>
    <cellStyle name="60% - akcent 2 12" xfId="1107" xr:uid="{FE1B773F-E595-4BAE-927B-3C5E1AAD2FE3}"/>
    <cellStyle name="60% - akcent 2 12 2" xfId="3047" xr:uid="{9E8B1CFB-A2E0-469B-BB7F-9AD82BB05795}"/>
    <cellStyle name="60% - akcent 2 13" xfId="1108" xr:uid="{8547F057-77EB-4EAB-9E00-758947177BE5}"/>
    <cellStyle name="60% - akcent 2 13 2" xfId="2598" xr:uid="{7AC42F5F-ED34-4B72-BD1E-7DF2DCFC6724}"/>
    <cellStyle name="60% - akcent 2 14" xfId="1109" xr:uid="{6C1F8EFE-2DE4-4EC9-8D90-F24FC325E530}"/>
    <cellStyle name="60% - akcent 2 14 2" xfId="2894" xr:uid="{3CE7670D-0633-4855-A937-BB9867B3AD69}"/>
    <cellStyle name="60% - akcent 2 15" xfId="1110" xr:uid="{0F96E50D-1DDE-4A5A-B833-F3DC9A4252A5}"/>
    <cellStyle name="60% - akcent 2 15 2" xfId="2674" xr:uid="{75B8BA18-81E4-463E-B77E-A2784F516AE5}"/>
    <cellStyle name="60% - akcent 2 16" xfId="1111" xr:uid="{A8456652-9C6D-4050-BCD4-73E307BB4EC1}"/>
    <cellStyle name="60% - akcent 2 16 2" xfId="2758" xr:uid="{0DD88D32-BAE6-4F79-B145-DBEC8A450BC8}"/>
    <cellStyle name="60% - akcent 2 17" xfId="1112" xr:uid="{35EC0046-F87D-46F0-BBED-F9CD206948E2}"/>
    <cellStyle name="60% - akcent 2 17 2" xfId="2959" xr:uid="{DF6280C0-4603-48E5-BAA8-8AFB2AB26A71}"/>
    <cellStyle name="60% - akcent 2 18" xfId="1113" xr:uid="{74D885CD-E3DF-4F55-9EC4-F8E96AAB84C1}"/>
    <cellStyle name="60% - akcent 2 18 2" xfId="3027" xr:uid="{DA0AAAA8-6727-4553-9CFF-BB4CE258F3DB}"/>
    <cellStyle name="60% - akcent 2 19" xfId="1114" xr:uid="{8FF7C2CA-8CA7-4AFA-B6C7-11888E744B35}"/>
    <cellStyle name="60% - akcent 2 19 2" xfId="2812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66" xr:uid="{70C2DEE2-79C7-4B0C-AC4A-11A9E03B1AFE}"/>
    <cellStyle name="60% - akcent 2 20" xfId="1117" xr:uid="{9823000A-634D-473F-A0E7-811C25ED574A}"/>
    <cellStyle name="60% - akcent 2 20 2" xfId="2949" xr:uid="{3147A0D9-B397-4BA1-8795-539C8847C2C0}"/>
    <cellStyle name="60% - akcent 2 21" xfId="1118" xr:uid="{97FE7984-0E4C-4490-9E34-D54ACA17FA66}"/>
    <cellStyle name="60% - akcent 2 21 2" xfId="3088" xr:uid="{7CAFC60B-8896-4DD4-A507-6AEFB12C2DB0}"/>
    <cellStyle name="60% - akcent 2 22" xfId="1119" xr:uid="{A10EC9C5-16A2-4500-8775-2E5FBFFE762F}"/>
    <cellStyle name="60% - akcent 2 22 2" xfId="3086" xr:uid="{3662795C-A86C-4287-9EBB-0802554DFB59}"/>
    <cellStyle name="60% - akcent 2 23" xfId="1120" xr:uid="{E49205AD-095D-4B2C-BBAB-ECF871A98C30}"/>
    <cellStyle name="60% - akcent 2 23 2" xfId="2584" xr:uid="{1B79EB0D-C455-42DC-A4CA-1ACDA3BCABE9}"/>
    <cellStyle name="60% - akcent 2 24" xfId="1121" xr:uid="{8DF95482-ADF6-40A0-AE2E-F30596A6CDE8}"/>
    <cellStyle name="60% - akcent 2 24 2" xfId="2786" xr:uid="{68C9DFA7-BCF5-4724-A991-1C08E5EBD578}"/>
    <cellStyle name="60% - akcent 2 25" xfId="1122" xr:uid="{6B8606A5-C387-4E5E-9FD4-1888A278D394}"/>
    <cellStyle name="60% - akcent 2 25 2" xfId="2715" xr:uid="{2C1D1A92-2D1E-40AC-84E6-405D9DC59187}"/>
    <cellStyle name="60% - akcent 2 26" xfId="1123" xr:uid="{303F7652-3E43-482F-938F-A9D026B9E37C}"/>
    <cellStyle name="60% - akcent 2 26 2" xfId="2744" xr:uid="{A49CD6C0-F192-46BD-ADFE-3BD8E58681C3}"/>
    <cellStyle name="60% - akcent 2 27" xfId="1124" xr:uid="{E1E8BFBF-E97D-4C70-8E59-9149F4912ADE}"/>
    <cellStyle name="60% - akcent 2 27 2" xfId="2979" xr:uid="{E2EC7F8D-0B27-4776-84B9-FD1AD68C077D}"/>
    <cellStyle name="60% - akcent 2 28" xfId="1125" xr:uid="{FC6E70B5-2B21-4492-B354-5107557DAFCD}"/>
    <cellStyle name="60% - akcent 2 28 2" xfId="3045" xr:uid="{4EDC86F5-AC73-43BE-9003-4B9EFEC07282}"/>
    <cellStyle name="60% - akcent 2 29" xfId="1126" xr:uid="{C16D04B8-AD3E-4DA9-B9F5-166A1DED3CF1}"/>
    <cellStyle name="60% - akcent 2 29 2" xfId="2600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74" xr:uid="{1A5CC361-203C-4120-8AD8-7CB420A1FAAB}"/>
    <cellStyle name="60% - akcent 2 31" xfId="1130" xr:uid="{8D81E20F-1206-4BC6-97A4-95851EC68C22}"/>
    <cellStyle name="60% - akcent 2 31 2" xfId="2907" xr:uid="{0ED9070C-7980-4635-ACE2-DEEBAA1815F8}"/>
    <cellStyle name="60% - akcent 2 32" xfId="1131" xr:uid="{03B4B74A-E682-4C22-95B2-F22E27AEBF5E}"/>
    <cellStyle name="60% - akcent 2 32 2" xfId="3093" xr:uid="{26BF61CA-AF06-4121-B954-EEB1B954236E}"/>
    <cellStyle name="60% - akcent 2 33" xfId="1132" xr:uid="{0BA8553A-B9A8-4F01-BD68-86A7A4948732}"/>
    <cellStyle name="60% - akcent 2 33 2" xfId="2582" xr:uid="{82C4A236-2F7C-4690-AA66-134151172640}"/>
    <cellStyle name="60% - akcent 2 34" xfId="1133" xr:uid="{4966DFDA-ACD8-4714-B0BB-7E1FF62DCED4}"/>
    <cellStyle name="60% - akcent 2 34 2" xfId="2974" xr:uid="{AE3808AA-E3E6-42A8-AC59-ABC3432539F8}"/>
    <cellStyle name="60% - akcent 2 35" xfId="1134" xr:uid="{B81281D4-EC2A-4082-8098-E167EA6736E4}"/>
    <cellStyle name="60% - akcent 2 35 2" xfId="2633" xr:uid="{912D3656-15DD-44DF-B622-9BC7D6B32FE5}"/>
    <cellStyle name="60% - akcent 2 36" xfId="1135" xr:uid="{FE82429F-6956-4A0B-86ED-1872C5D7D52D}"/>
    <cellStyle name="60% - akcent 2 36 2" xfId="2970" xr:uid="{BF4336A3-DBEF-4A7F-B325-18740B2F0665}"/>
    <cellStyle name="60% - akcent 2 37" xfId="1136" xr:uid="{5F009356-CF68-4B8A-A06F-71270101FDCB}"/>
    <cellStyle name="60% - akcent 2 37 2" xfId="2829" xr:uid="{F7E4A305-A3DF-4341-90FA-CFCF527FEA5B}"/>
    <cellStyle name="60% - akcent 2 38" xfId="1137" xr:uid="{9957D981-4BFF-4996-8E2F-FFB63BA76E79}"/>
    <cellStyle name="60% - akcent 2 38 2" xfId="2704" xr:uid="{30D9AD86-FA9B-4808-BCD7-A7EBEBF422DF}"/>
    <cellStyle name="60% - akcent 2 39" xfId="1138" xr:uid="{BE38DA93-52D5-4F56-9F29-4AD186FEA498}"/>
    <cellStyle name="60% - akcent 2 39 2" xfId="2878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096" xr:uid="{F865FDD4-B8B7-406F-889C-C12C5C25D8A1}"/>
    <cellStyle name="60% - akcent 2 41" xfId="1142" xr:uid="{B621E52F-1900-4AE2-9D4B-92026A5FE46C}"/>
    <cellStyle name="60% - akcent 2 41 2" xfId="2800" xr:uid="{6754ED7F-94FA-4E92-A48C-4E609C9135AD}"/>
    <cellStyle name="60% - akcent 2 42" xfId="1143" xr:uid="{6FDF3C8C-BCEC-476D-946F-DF2E24E8EAD3}"/>
    <cellStyle name="60% - akcent 2 42 2" xfId="2860" xr:uid="{208CA92F-6BD3-4567-AD4B-ACEBC68C5F18}"/>
    <cellStyle name="60% - akcent 2 43" xfId="1144" xr:uid="{3E662B8C-E918-4E94-83AF-4D73B83490B6}"/>
    <cellStyle name="60% - akcent 2 43 2" xfId="2690" xr:uid="{59763FD6-691A-43AB-83B9-8AAE36073AF2}"/>
    <cellStyle name="60% - akcent 2 44" xfId="1145" xr:uid="{52D0D16A-5731-4304-9D1F-3E733979AE3E}"/>
    <cellStyle name="60% - akcent 2 44 2" xfId="3224" xr:uid="{76F00335-4EA9-44E8-AF95-0AB4695EA209}"/>
    <cellStyle name="60% - akcent 2 45" xfId="1146" xr:uid="{BFBB2D8D-B928-401E-A146-4DBD3E64C521}"/>
    <cellStyle name="60% - akcent 2 45 2" xfId="3270" xr:uid="{BC1517F5-67A8-4B2C-A762-BF365FDA8E0D}"/>
    <cellStyle name="60% - akcent 2 46" xfId="1147" xr:uid="{82573076-527C-499C-9B1D-28CEA82A5C81}"/>
    <cellStyle name="60% - akcent 2 46 2" xfId="3265" xr:uid="{D43A4123-F4DD-446A-860D-CBD433F5AA19}"/>
    <cellStyle name="60% - akcent 2 47" xfId="1148" xr:uid="{493E2EDE-87F7-4268-9E1E-B72F65A6BE7D}"/>
    <cellStyle name="60% - akcent 2 47 2" xfId="3262" xr:uid="{4BD4A211-AE0F-467E-A5D7-513A38E2F6F6}"/>
    <cellStyle name="60% - akcent 2 48" xfId="1149" xr:uid="{BCC816E8-8A65-42E8-BC02-381E755058F7}"/>
    <cellStyle name="60% - akcent 2 48 2" xfId="3292" xr:uid="{FFA4AEB8-1596-4014-B22F-6F154A2FECBE}"/>
    <cellStyle name="60% - akcent 2 49" xfId="1150" xr:uid="{E4802932-4550-4294-BE74-B52A415A6CAF}"/>
    <cellStyle name="60% - akcent 2 49 2" xfId="3303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83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0" xr:uid="{CADAB1B6-F95D-443F-9CD0-DD4745B35027}"/>
    <cellStyle name="60% - akcent 2 9" xfId="1159" xr:uid="{EA58DD35-0F6E-4CDD-B034-D1CAD26CDC3F}"/>
    <cellStyle name="60% - akcent 2 9 2" xfId="2663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5" xr:uid="{F98B0673-2DC2-4E6D-8CAF-2103A5E9AB5D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IMPORT" xfId="3443" xr:uid="{7FEB2503-E683-430F-AF31-766C217E121B}"/>
    <cellStyle name="60% — akcent 2_IMPORT" xfId="3444" xr:uid="{C8B831D5-979E-4EBA-961B-F50E07484516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IMPORT" xfId="3447" xr:uid="{2F636989-BD8E-44FA-8E05-0BAD8B487886}"/>
    <cellStyle name="60% — akcent 2_slownik_1_slownik" xfId="3602" xr:uid="{658845A1-7940-461E-9A6C-FF89060D97FA}"/>
    <cellStyle name="60% - akcent 2_slownik_2" xfId="3448" xr:uid="{075915F5-2097-43CC-A78C-B04AAEC5B082}"/>
    <cellStyle name="60% — akcent 2_slownik_2" xfId="3449" xr:uid="{2D24AFFC-3BE9-45FF-A368-79C003D875A0}"/>
    <cellStyle name="60% - akcent 2_slownik_3" xfId="3603" xr:uid="{7C94AFC3-35D7-4F13-8F96-33E57E58CC2A}"/>
    <cellStyle name="60% — akcent 2_slownik_3" xfId="3604" xr:uid="{D4641714-4E4C-405F-87E8-DA01DC25FF65}"/>
    <cellStyle name="60% - akcent 2_slownik_IMPORT" xfId="3446" xr:uid="{88564619-7E7C-4FFF-82D2-D5A753670898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1" xr:uid="{780F87DE-24FF-46C4-978B-E6955C25E650}"/>
    <cellStyle name="60% - akcent 3 11" xfId="1179" xr:uid="{7A8674B3-0C06-4F4D-9430-99E1835EA4AB}"/>
    <cellStyle name="60% - akcent 3 11 2" xfId="2669" xr:uid="{318BB92C-6853-4CDB-90B9-4180B8F2F666}"/>
    <cellStyle name="60% - akcent 3 12" xfId="1180" xr:uid="{529BC95B-37ED-438E-B539-A273825034ED}"/>
    <cellStyle name="60% - akcent 3 12 2" xfId="3077" xr:uid="{5F18807F-4701-4D04-87C2-F9A9A4D1D689}"/>
    <cellStyle name="60% - akcent 3 13" xfId="1181" xr:uid="{706AEEE0-2B74-49F5-BD6A-F6EC097B2046}"/>
    <cellStyle name="60% - akcent 3 13 2" xfId="2586" xr:uid="{FC414DD1-C208-47DB-8273-E25BFAAFB2C2}"/>
    <cellStyle name="60% - akcent 3 14" xfId="1182" xr:uid="{F27E8BFE-1F12-481C-92AC-065F150CC907}"/>
    <cellStyle name="60% - akcent 3 14 2" xfId="2785" xr:uid="{30209A8C-FF76-4CC4-9E1A-3A02DFD9FD6E}"/>
    <cellStyle name="60% - akcent 3 15" xfId="1183" xr:uid="{9538816C-9C3A-49CF-9677-BCDD02A6CD4D}"/>
    <cellStyle name="60% - akcent 3 15 2" xfId="3005" xr:uid="{FC62917D-D172-4F20-972F-F8B0A0C8E0C1}"/>
    <cellStyle name="60% - akcent 3 16" xfId="1184" xr:uid="{48FD1D0F-96E9-4D21-AC47-F858815F7B5B}"/>
    <cellStyle name="60% - akcent 3 16 2" xfId="2818" xr:uid="{647C755E-669D-40F1-B165-AE18B4F35F01}"/>
    <cellStyle name="60% - akcent 3 17" xfId="1185" xr:uid="{8E01E68C-1DEB-4DB6-97A0-5EBD9FEFE323}"/>
    <cellStyle name="60% - akcent 3 17 2" xfId="2944" xr:uid="{629E00A1-2EA8-4411-BA50-2B088B2C7B40}"/>
    <cellStyle name="60% - akcent 3 18" xfId="1186" xr:uid="{8B026A00-2C0A-49D9-A005-80C19C404583}"/>
    <cellStyle name="60% - akcent 3 18 2" xfId="3049" xr:uid="{A4BFE65B-897F-430E-A27D-07F2C7EDC4D0}"/>
    <cellStyle name="60% - akcent 3 19" xfId="1187" xr:uid="{6F72335A-6F40-4F6F-A0E9-9D67B1757AC8}"/>
    <cellStyle name="60% - akcent 3 19 2" xfId="2597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67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75" xr:uid="{52C81368-8CA5-436F-8A9C-872B5CC2A455}"/>
    <cellStyle name="60% - akcent 3 21" xfId="1194" xr:uid="{8FAD18B0-4B6E-48D6-8B68-0A0097BAF36F}"/>
    <cellStyle name="60% - akcent 3 21 2" xfId="2906" xr:uid="{B138D6A7-21FA-4FED-B90A-792A14B02319}"/>
    <cellStyle name="60% - akcent 3 22" xfId="1195" xr:uid="{9C20B240-148B-4857-B2BA-74814CDD10D2}"/>
    <cellStyle name="60% - akcent 3 22 2" xfId="3000" xr:uid="{4EF64300-26DC-4AE4-85AC-5F1E834ACBDB}"/>
    <cellStyle name="60% - akcent 3 23" xfId="1196" xr:uid="{CE599F7F-8A97-4C34-8F5B-4A9CAF86DC73}"/>
    <cellStyle name="60% - akcent 3 23 2" xfId="2823" xr:uid="{1E1BE05B-4F11-4BD7-9C48-946B61F2CEDD}"/>
    <cellStyle name="60% - akcent 3 24" xfId="1197" xr:uid="{9E5BBB73-9BA9-4789-8A16-FC39A69659BB}"/>
    <cellStyle name="60% - akcent 3 24 2" xfId="2943" xr:uid="{2678267A-19DA-447E-A799-5DA3BAC4DB6E}"/>
    <cellStyle name="60% - akcent 3 25" xfId="1198" xr:uid="{E5A9DB68-68ED-478C-BB09-1DE6CB91873E}"/>
    <cellStyle name="60% - akcent 3 25 2" xfId="2651" xr:uid="{9AF70320-A8C6-4675-91FE-6EB9F80B8472}"/>
    <cellStyle name="60% - akcent 3 26" xfId="1199" xr:uid="{ED8CD2AC-44DC-4BB0-9F80-BE816AFBB049}"/>
    <cellStyle name="60% - akcent 3 26 2" xfId="2900" xr:uid="{1453300E-5B01-4C31-9C95-AE35CD397765}"/>
    <cellStyle name="60% - akcent 3 27" xfId="1200" xr:uid="{C3A1FD44-B5AB-4FEF-B8F3-5E7B633CBFDD}"/>
    <cellStyle name="60% - akcent 3 27 2" xfId="2670" xr:uid="{3AF870BE-0B0C-4080-8BA2-77F99DAA79F4}"/>
    <cellStyle name="60% - akcent 3 28" xfId="1201" xr:uid="{F7535A3C-41CD-4AB3-9B55-23C1634DBBE8}"/>
    <cellStyle name="60% - akcent 3 28 2" xfId="2794" xr:uid="{73D72A5C-A153-49CA-A46F-F8BF52BBF7B8}"/>
    <cellStyle name="60% - akcent 3 29" xfId="1202" xr:uid="{B8CF4041-1B3D-4D50-BC2D-188BE5A0DC69}"/>
    <cellStyle name="60% - akcent 3 29 2" xfId="2953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46" xr:uid="{FFCC673B-9326-4536-9802-FEAEDE9ABBA7}"/>
    <cellStyle name="60% - akcent 3 31" xfId="1206" xr:uid="{9D9B0228-0B21-4282-97C5-93A1C86D6A21}"/>
    <cellStyle name="60% - akcent 3 31 2" xfId="2977" xr:uid="{5127FEC4-7E3B-4084-8D0F-4AA895536047}"/>
    <cellStyle name="60% - akcent 3 32" xfId="1207" xr:uid="{A91EDE4C-06B6-4199-81AF-6B0BEE7D7FBF}"/>
    <cellStyle name="60% - akcent 3 32 2" xfId="2632" xr:uid="{B37A8963-F096-4C3B-8231-BB6F46182972}"/>
    <cellStyle name="60% - akcent 3 33" xfId="1208" xr:uid="{C7426853-8324-4AA4-A5EC-6812C827D437}"/>
    <cellStyle name="60% - akcent 3 33 2" xfId="2767" xr:uid="{B4F7B7C1-6B31-4346-8065-B0D7DC77905F}"/>
    <cellStyle name="60% - akcent 3 34" xfId="1209" xr:uid="{BCE43756-8276-47C5-9142-ED0ABC9EC608}"/>
    <cellStyle name="60% - akcent 3 34 2" xfId="2721" xr:uid="{4F533241-E906-415D-9003-5031E087C02A}"/>
    <cellStyle name="60% - akcent 3 35" xfId="1210" xr:uid="{836A4290-A9D8-4161-90FB-04EC04A59334}"/>
    <cellStyle name="60% - akcent 3 35 2" xfId="2741" xr:uid="{400885F0-B835-4BCA-AB37-68E959412F3A}"/>
    <cellStyle name="60% - akcent 3 36" xfId="1211" xr:uid="{9148D7F3-7A57-4C5A-8785-2973760CAD11}"/>
    <cellStyle name="60% - akcent 3 36 2" xfId="3078" xr:uid="{178C386A-052D-4A50-AD21-2875928CC618}"/>
    <cellStyle name="60% - akcent 3 37" xfId="1212" xr:uid="{01F72F53-169B-448F-ABA6-4CEBCE483D73}"/>
    <cellStyle name="60% - akcent 3 37 2" xfId="3036" xr:uid="{230B4AB2-1882-4448-8CE4-A88A61F9AAE2}"/>
    <cellStyle name="60% - akcent 3 38" xfId="1213" xr:uid="{5A792F40-6B5F-46A1-9E8A-54BE198278BD}"/>
    <cellStyle name="60% - akcent 3 38 2" xfId="3092" xr:uid="{FFC6C003-E00E-4532-AAB4-E26B932F413F}"/>
    <cellStyle name="60% - akcent 3 39" xfId="1214" xr:uid="{6048F942-BBCA-4A51-803A-5DB46A85FCE6}"/>
    <cellStyle name="60% - akcent 3 39 2" xfId="2803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0" xr:uid="{45DB423D-89E5-4BE0-B381-3E42FFEF68D7}"/>
    <cellStyle name="60% - akcent 3 41" xfId="1219" xr:uid="{C771D12F-871D-4640-874F-D5D3489FFB76}"/>
    <cellStyle name="60% - akcent 3 41 2" xfId="3028" xr:uid="{6C8F8028-EFC5-41EE-B9F0-5D3BC7BE250E}"/>
    <cellStyle name="60% - akcent 3 42" xfId="1220" xr:uid="{D2C608E0-5D42-4987-A3B0-536689B44E68}"/>
    <cellStyle name="60% - akcent 3 42 2" xfId="2612" xr:uid="{2040EAAE-5191-47D3-AD48-94D347F06C78}"/>
    <cellStyle name="60% - akcent 3 43" xfId="1221" xr:uid="{ED5F0812-D366-4182-A97E-91A3AB8CC0C1}"/>
    <cellStyle name="60% - akcent 3 43 2" xfId="2774" xr:uid="{A29E2AD7-9709-41D2-9CD9-3E5F926F925D}"/>
    <cellStyle name="60% - akcent 3 44" xfId="1222" xr:uid="{28B51A82-6EA6-41C5-8832-E20D0EC0E0F0}"/>
    <cellStyle name="60% - akcent 3 44 2" xfId="3225" xr:uid="{F3B93A3E-8964-4CDF-9069-2A6BDFC22710}"/>
    <cellStyle name="60% - akcent 3 45" xfId="1223" xr:uid="{0F380E11-502F-403F-B621-39ADB86CB70E}"/>
    <cellStyle name="60% - akcent 3 45 2" xfId="3204" xr:uid="{6D48F10D-D7B7-41E6-A056-249494772D12}"/>
    <cellStyle name="60% - akcent 3 46" xfId="1224" xr:uid="{AE06FCDE-1197-42EA-89BE-BD6D80D0B311}"/>
    <cellStyle name="60% - akcent 3 46 2" xfId="3290" xr:uid="{4D8C85E1-9E84-4094-B95A-8A1AF911CC2F}"/>
    <cellStyle name="60% - akcent 3 47" xfId="1225" xr:uid="{8EAF2891-6EED-402F-B50D-6988D56B8EE3}"/>
    <cellStyle name="60% - akcent 3 47 2" xfId="3241" xr:uid="{403D1554-0CB3-4D09-8A93-510051DE3B3D}"/>
    <cellStyle name="60% - akcent 3 48" xfId="1226" xr:uid="{0B624E58-3508-4118-92E9-34F7C16BD842}"/>
    <cellStyle name="60% - akcent 3 48 2" xfId="3214" xr:uid="{21A75DCA-CDB1-41C6-8B71-99CE00708A1E}"/>
    <cellStyle name="60% - akcent 3 49" xfId="1227" xr:uid="{FBDDBEAE-3A3F-4478-B697-69B49B7FC796}"/>
    <cellStyle name="60% - akcent 3 49 2" xfId="3221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84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1" xr:uid="{570A1A22-1BD1-4C8E-BCBC-A9171635E1FC}"/>
    <cellStyle name="60% - akcent 3 9" xfId="1237" xr:uid="{702EB528-752C-49BF-8458-810C94CED83B}"/>
    <cellStyle name="60% - akcent 3 9 2" xfId="2668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2" xr:uid="{7D7438A4-3E37-4BD1-949A-7FC31833D313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IMPORT" xfId="3450" xr:uid="{932ABBFE-7FEE-4415-A105-C49E8F2F2FAC}"/>
    <cellStyle name="60% — akcent 3_IMPORT" xfId="3451" xr:uid="{C67BEE9C-C5C7-4666-ABED-602DC4F91362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IMPORT" xfId="3454" xr:uid="{6BA33BDB-7114-46A0-AE4D-1C17F8D5EEC4}"/>
    <cellStyle name="60% — akcent 3_slownik_1_slownik" xfId="3605" xr:uid="{BE5D5A0C-C4DC-4DF3-9218-FE1583B9026D}"/>
    <cellStyle name="60% - akcent 3_slownik_2" xfId="3455" xr:uid="{B776D11D-9513-44A8-8FAA-C28BE93EBC3D}"/>
    <cellStyle name="60% — akcent 3_slownik_2" xfId="3456" xr:uid="{640A1FAB-EB54-40CE-9129-5E7799EEFEF8}"/>
    <cellStyle name="60% - akcent 3_slownik_3" xfId="3606" xr:uid="{E6358C69-7641-43BE-B533-A73F11384AD9}"/>
    <cellStyle name="60% — akcent 3_slownik_3" xfId="3607" xr:uid="{C1F9CF7E-6DE0-46E8-BBB1-6F20D6C3ABB8}"/>
    <cellStyle name="60% - akcent 3_slownik_IMPORT" xfId="3453" xr:uid="{9CD40B79-A7D9-4D47-A970-D9A2F89CE8C5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75" xr:uid="{19159608-F4AD-467A-9994-8DE2192FE0AB}"/>
    <cellStyle name="60% - akcent 4 11" xfId="1257" xr:uid="{11F7A1DD-5A29-49F4-8D87-69B07ABEF817}"/>
    <cellStyle name="60% - akcent 4 11 2" xfId="2898" xr:uid="{B1890BB2-A2B8-4F69-B517-5D94FFAFC963}"/>
    <cellStyle name="60% - akcent 4 12" xfId="1258" xr:uid="{8238440E-60BE-47A6-8B02-4960DF995946}"/>
    <cellStyle name="60% - akcent 4 12 2" xfId="2926" xr:uid="{C30D891C-D028-4337-956E-98EAF0842CBA}"/>
    <cellStyle name="60% - akcent 4 13" xfId="1259" xr:uid="{E009026A-72DE-48F4-98B1-99E6A2C5C27F}"/>
    <cellStyle name="60% - akcent 4 13 2" xfId="3095" xr:uid="{7EB657CD-287E-46EA-9A58-8C74984C77B7}"/>
    <cellStyle name="60% - akcent 4 14" xfId="1260" xr:uid="{52AD7708-85C4-49AC-9DFE-04E715B5743D}"/>
    <cellStyle name="60% - akcent 4 14 2" xfId="2801" xr:uid="{28960E6B-82F9-4D43-9F88-FF8CFBCEA99A}"/>
    <cellStyle name="60% - akcent 4 15" xfId="1261" xr:uid="{F7E9F272-A714-4BEE-BBD5-083CB00E7AE7}"/>
    <cellStyle name="60% - akcent 4 15 2" xfId="2951" xr:uid="{4FE2F801-5CC5-4627-9607-C6895C80D156}"/>
    <cellStyle name="60% - akcent 4 16" xfId="1262" xr:uid="{778D4B67-1F32-4AC9-9890-DADED3FF664B}"/>
    <cellStyle name="60% - akcent 4 16 2" xfId="2649" xr:uid="{72735C2C-8530-4AB3-BE1E-4DC771F4C188}"/>
    <cellStyle name="60% - akcent 4 17" xfId="1263" xr:uid="{68482078-117D-435F-BCB3-D4CAC1D22C7F}"/>
    <cellStyle name="60% - akcent 4 17 2" xfId="2793" xr:uid="{56E926D2-80AD-4908-BA16-C54FDFE3D03C}"/>
    <cellStyle name="60% - akcent 4 18" xfId="1264" xr:uid="{E90620E3-503C-4BF3-999A-94EF2BEF6A62}"/>
    <cellStyle name="60% - akcent 4 18 2" xfId="2954" xr:uid="{97ADD4CF-A012-4814-B2A3-D279CADA4DE9}"/>
    <cellStyle name="60% - akcent 4 19" xfId="1265" xr:uid="{A8175D10-AE68-4C93-9427-5C422105C99E}"/>
    <cellStyle name="60% - akcent 4 19 2" xfId="2645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68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82" xr:uid="{5839154B-0509-44C8-B44E-0397159BE65F}"/>
    <cellStyle name="60% - akcent 4 21" xfId="1272" xr:uid="{BFD17165-13DE-4A49-A4F2-EA400F874BC0}"/>
    <cellStyle name="60% - akcent 4 21 2" xfId="2994" xr:uid="{4AD603AD-6B38-404B-AC94-776058A8CF1E}"/>
    <cellStyle name="60% - akcent 4 22" xfId="1273" xr:uid="{A7D743C4-D4E0-4F40-A567-934F0D63B9A0}"/>
    <cellStyle name="60% - akcent 4 22 2" xfId="2624" xr:uid="{0D8B51A3-06C1-4CD2-AFCB-AC0EA747A15B}"/>
    <cellStyle name="60% - akcent 4 23" xfId="1274" xr:uid="{BCAA7F00-3D8D-4987-8059-B9275853BDBF}"/>
    <cellStyle name="60% - akcent 4 23 2" xfId="3102" xr:uid="{35226C85-C5FB-4D8D-B9FD-74E38F88D7DB}"/>
    <cellStyle name="60% - akcent 4 24" xfId="1275" xr:uid="{35706A25-74A2-4B02-B3DB-A2623A675B6A}"/>
    <cellStyle name="60% - akcent 4 24 2" xfId="2578" xr:uid="{D6EE8C68-4E22-4FE7-8C79-F30AE0F6B739}"/>
    <cellStyle name="60% - akcent 4 25" xfId="1276" xr:uid="{ED388632-F1CC-4E8C-B880-765D60E2E245}"/>
    <cellStyle name="60% - akcent 4 25 2" xfId="2975" xr:uid="{C56EF045-9391-448D-A445-7CBD87068541}"/>
    <cellStyle name="60% - akcent 4 26" xfId="1277" xr:uid="{E1DE470E-EBA2-49C7-B540-046067E73369}"/>
    <cellStyle name="60% - akcent 4 26 2" xfId="2920" xr:uid="{6F0B86B9-DC4A-42EF-AF93-63C2BECF7896}"/>
    <cellStyle name="60% - akcent 4 27" xfId="1278" xr:uid="{B13D2558-7EDD-4818-A468-92C14F49DC6B}"/>
    <cellStyle name="60% - akcent 4 27 2" xfId="2839" xr:uid="{2F3191BC-BB39-4592-B816-DAAC290E7176}"/>
    <cellStyle name="60% - akcent 4 28" xfId="1279" xr:uid="{C0F37DB0-110D-4247-A9F1-CC2B197FC46D}"/>
    <cellStyle name="60% - akcent 4 28 2" xfId="2702" xr:uid="{3A01DF3C-8AD1-49FC-B5E7-E70F555C3EC6}"/>
    <cellStyle name="60% - akcent 4 29" xfId="1280" xr:uid="{8D3C36BE-8FF5-4473-9DE7-22420B4E340A}"/>
    <cellStyle name="60% - akcent 4 29 2" xfId="3066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83" xr:uid="{7707911C-6031-4B0A-AD41-496BDA6A574D}"/>
    <cellStyle name="60% - akcent 4 31" xfId="1284" xr:uid="{4CD08550-8FF5-4833-B2E1-744B0BC96A81}"/>
    <cellStyle name="60% - akcent 4 31 2" xfId="2997" xr:uid="{C18F4814-D261-4E7F-A783-57A9EA646568}"/>
    <cellStyle name="60% - akcent 4 32" xfId="1285" xr:uid="{D8D5E521-7906-43D7-8819-099544C85AE4}"/>
    <cellStyle name="60% - akcent 4 32 2" xfId="3087" xr:uid="{7FDDAB3C-5C59-4703-824B-F53EAAC76C29}"/>
    <cellStyle name="60% - akcent 4 33" xfId="1286" xr:uid="{8D4D0128-DBA1-4B3F-88C0-7B56B6A506CD}"/>
    <cellStyle name="60% - akcent 4 33 2" xfId="2583" xr:uid="{E9EF281D-4CCD-44D0-B665-D06125E42F37}"/>
    <cellStyle name="60% - akcent 4 34" xfId="1287" xr:uid="{C84F16E0-733B-4D76-9CEA-D589A6B5288F}"/>
    <cellStyle name="60% - akcent 4 34 2" xfId="3084" xr:uid="{FC292EE9-E306-40E7-BB55-749282E56770}"/>
    <cellStyle name="60% - akcent 4 35" xfId="1288" xr:uid="{2E3C2866-28AA-49CB-9D57-530E6EC7544B}"/>
    <cellStyle name="60% - akcent 4 35 2" xfId="2903" xr:uid="{605EA8B8-3CEF-4941-B22B-C229AE600946}"/>
    <cellStyle name="60% - akcent 4 36" xfId="1289" xr:uid="{751AB632-3C1A-450F-8129-9C314930750E}"/>
    <cellStyle name="60% - akcent 4 36 2" xfId="2841" xr:uid="{213F80B4-E7D2-41C5-93B5-5971FB0FEE26}"/>
    <cellStyle name="60% - akcent 4 37" xfId="1290" xr:uid="{32BC148F-CADB-4B0B-AB6E-D6E424AEB846}"/>
    <cellStyle name="60% - akcent 4 37 2" xfId="2933" xr:uid="{CA6F45E3-2FDD-4D8A-9678-AA8FB6E4591D}"/>
    <cellStyle name="60% - akcent 4 38" xfId="1291" xr:uid="{564AAC24-C2A1-40F5-95EF-BFBA469D1B7F}"/>
    <cellStyle name="60% - akcent 4 38 2" xfId="2835" xr:uid="{6867D18F-5662-4AF1-A675-C8D5A57D781A}"/>
    <cellStyle name="60% - akcent 4 39" xfId="1292" xr:uid="{D65CD8BE-428C-40C1-8A9F-9DF46B1D9606}"/>
    <cellStyle name="60% - akcent 4 39 2" xfId="2936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57" xr:uid="{10636B1E-9D3F-412E-BD96-9727BD7E4D85}"/>
    <cellStyle name="60% - akcent 4 41" xfId="1297" xr:uid="{A2BC52D7-DB77-449D-B68F-3B32F0EE56DD}"/>
    <cellStyle name="60% - akcent 4 41 2" xfId="2795" xr:uid="{4CE9F6AE-351C-4FDD-90B4-CE096B838998}"/>
    <cellStyle name="60% - akcent 4 42" xfId="1298" xr:uid="{4F5C2FCA-B8D0-4A93-8FD9-A8FFEC1EB835}"/>
    <cellStyle name="60% - akcent 4 42 2" xfId="2861" xr:uid="{930618EA-0E5C-47CE-9776-DA031EC834A5}"/>
    <cellStyle name="60% - akcent 4 43" xfId="1299" xr:uid="{2B818BF6-A4D4-496F-8797-BA2533E5B26B}"/>
    <cellStyle name="60% - akcent 4 43 2" xfId="2689" xr:uid="{C8E5CE42-3E62-4F70-8567-D33E8C249A39}"/>
    <cellStyle name="60% - akcent 4 44" xfId="1300" xr:uid="{AE24A8FE-EA43-4769-8482-A919492087DE}"/>
    <cellStyle name="60% - akcent 4 44 2" xfId="3226" xr:uid="{7A69609D-9222-4516-B89D-178F0ECFEB06}"/>
    <cellStyle name="60% - akcent 4 45" xfId="1301" xr:uid="{A8DA15B6-BB07-4D92-A0C6-B1EA3BA23BF8}"/>
    <cellStyle name="60% - akcent 4 45 2" xfId="3277" xr:uid="{46B12DA1-1124-4DD6-917A-918AC68EBC59}"/>
    <cellStyle name="60% - akcent 4 46" xfId="1302" xr:uid="{8873ECBD-7D92-4637-BC33-BDDBA8804BAD}"/>
    <cellStyle name="60% - akcent 4 46 2" xfId="3246" xr:uid="{D3D1EB37-794F-4FD7-8C79-43C999AA96B5}"/>
    <cellStyle name="60% - akcent 4 47" xfId="1303" xr:uid="{0521C8C3-A2FA-4EC3-9EA4-296669899C29}"/>
    <cellStyle name="60% - akcent 4 47 2" xfId="3302" xr:uid="{CCED30EE-60F6-4546-9F3C-CBEF0C17C0EB}"/>
    <cellStyle name="60% - akcent 4 48" xfId="1304" xr:uid="{8FF66688-E6F3-443A-BE0D-DC0A41E9195F}"/>
    <cellStyle name="60% - akcent 4 48 2" xfId="3288" xr:uid="{4EE2096D-9FDA-4C47-8EDD-1C0D8F416FF8}"/>
    <cellStyle name="60% - akcent 4 49" xfId="1305" xr:uid="{30DF0A81-7073-492F-A0B8-6FF3D558017D}"/>
    <cellStyle name="60% - akcent 4 49 2" xfId="3306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85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22" xr:uid="{40ACE5E1-BA29-4BF0-8909-5B09ECBB6439}"/>
    <cellStyle name="60% - akcent 4 9" xfId="1315" xr:uid="{9F801982-FCF3-4793-9147-2B1AF702F1D7}"/>
    <cellStyle name="60% - akcent 4 9 2" xfId="2673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9" xr:uid="{5E89818C-A708-4D62-9888-1ABCF33E71E5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IMPORT" xfId="3457" xr:uid="{8E29B7FE-0F16-4F5E-AAE0-91E7FACD6E63}"/>
    <cellStyle name="60% — akcent 4_IMPORT" xfId="3458" xr:uid="{6A1589BB-EBE5-4574-AC0C-27C0FC2EAB0D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IMPORT" xfId="3461" xr:uid="{7D1F7E89-D24F-4C0E-978B-E54B506692B4}"/>
    <cellStyle name="60% — akcent 4_slownik_1_slownik" xfId="3608" xr:uid="{227A4B29-01DB-4DBD-9B3F-D8DAF811996A}"/>
    <cellStyle name="60% - akcent 4_slownik_2" xfId="3462" xr:uid="{154D7707-1B30-4E29-8385-DAD97997F929}"/>
    <cellStyle name="60% — akcent 4_slownik_2" xfId="3463" xr:uid="{A3EF1062-6D89-4B36-A3B1-9E186D819E10}"/>
    <cellStyle name="60% - akcent 4_slownik_3" xfId="3609" xr:uid="{D93C56CB-125C-4BF5-B06D-796D6713AA1C}"/>
    <cellStyle name="60% — akcent 4_slownik_3" xfId="3610" xr:uid="{3063BE61-3263-4820-9A00-FC99957B0794}"/>
    <cellStyle name="60% - akcent 4_slownik_IMPORT" xfId="3460" xr:uid="{D440614F-333C-4F37-9B86-2206D6FCA53E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32" xr:uid="{12446D08-54A2-425E-96CA-359FA70C54DC}"/>
    <cellStyle name="60% - akcent 5 11" xfId="1335" xr:uid="{CE8C5F2A-59A4-4DE6-8AFE-C0B88E63A8DF}"/>
    <cellStyle name="60% - akcent 5 11 2" xfId="2607" xr:uid="{2B2F5AA3-ACB4-400D-BE4B-37BE79E4CE29}"/>
    <cellStyle name="60% - akcent 5 12" xfId="1336" xr:uid="{72500F3F-355C-4E2D-B3DB-E494AC5E7EE1}"/>
    <cellStyle name="60% - akcent 5 12 2" xfId="3019" xr:uid="{A97A7E70-0286-4B53-BB9A-63207F3F2904}"/>
    <cellStyle name="60% - akcent 5 13" xfId="1337" xr:uid="{A8139F2D-C299-4B83-B6DD-3CE34CEE09A0}"/>
    <cellStyle name="60% - akcent 5 13 2" xfId="2914" xr:uid="{30BB4B26-EA0E-4B6C-9914-B9A1486B059C}"/>
    <cellStyle name="60% - akcent 5 14" xfId="1338" xr:uid="{8B6F99B8-877B-42E6-A093-79764FB2BB2B}"/>
    <cellStyle name="60% - akcent 5 14 2" xfId="2666" xr:uid="{751FB89B-7CE0-4EBC-83E8-BBAAA1A52C01}"/>
    <cellStyle name="60% - akcent 5 15" xfId="1339" xr:uid="{878D65B3-E460-4F2E-8A4D-74EBC3E46BB1}"/>
    <cellStyle name="60% - akcent 5 15 2" xfId="2884" xr:uid="{E7586DBD-54A5-4B23-989A-CB797F33C65B}"/>
    <cellStyle name="60% - akcent 5 16" xfId="1340" xr:uid="{5B47B988-13AF-4BED-B066-B83B01E70891}"/>
    <cellStyle name="60% - akcent 5 16 2" xfId="2929" xr:uid="{701C6E4A-9040-410F-8E23-E015E18809C3}"/>
    <cellStyle name="60% - akcent 5 17" xfId="1341" xr:uid="{969EB23B-3F43-4B51-9B3D-DDF34271B1FE}"/>
    <cellStyle name="60% - akcent 5 17 2" xfId="2838" xr:uid="{F4FF88D1-839B-4E69-852F-68D636755A7B}"/>
    <cellStyle name="60% - akcent 5 18" xfId="1342" xr:uid="{99AEC298-56DA-4453-AD24-1472BDE81A78}"/>
    <cellStyle name="60% - akcent 5 18 2" xfId="2851" xr:uid="{5329B368-A8A4-4CFB-BF8C-6BB06BDED94D}"/>
    <cellStyle name="60% - akcent 5 19" xfId="1343" xr:uid="{D6D1B15C-13BC-4118-810C-7D33B259DBA3}"/>
    <cellStyle name="60% - akcent 5 19 2" xfId="2847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69" xr:uid="{39F4D238-4694-4B8A-8CCC-438F7BDFA591}"/>
    <cellStyle name="60% - akcent 5 20" xfId="1346" xr:uid="{22F50B72-AB49-4EFF-BA67-661A0F794AB7}"/>
    <cellStyle name="60% - akcent 5 20 2" xfId="2849" xr:uid="{72340038-3998-4472-A2D4-9B18CBAF00A6}"/>
    <cellStyle name="60% - akcent 5 21" xfId="1347" xr:uid="{CAEF9AEC-087B-4838-A60F-9934A68FBCA9}"/>
    <cellStyle name="60% - akcent 5 21 2" xfId="2698" xr:uid="{8929B8B5-BC79-434B-B1AF-C9196963A13F}"/>
    <cellStyle name="60% - akcent 5 22" xfId="1348" xr:uid="{87932274-CF30-47B2-AA8A-C0F4FB72C420}"/>
    <cellStyle name="60% - akcent 5 22 2" xfId="2750" xr:uid="{E301214F-14E5-4D9F-BEDB-1B41D9C8F824}"/>
    <cellStyle name="60% - akcent 5 23" xfId="1349" xr:uid="{0C4B838C-C29E-452C-9D9E-61F8ECFFB4FB}"/>
    <cellStyle name="60% - akcent 5 23 2" xfId="3063" xr:uid="{31D854B3-8984-4C5F-9364-1A65AEA4BD7F}"/>
    <cellStyle name="60% - akcent 5 24" xfId="1350" xr:uid="{04EBFCD7-CF1B-4891-8B7A-647737E16BBF}"/>
    <cellStyle name="60% - akcent 5 24 2" xfId="3090" xr:uid="{9CDA864E-3F6A-426A-B9DA-1BA7FD700B59}"/>
    <cellStyle name="60% - akcent 5 25" xfId="1351" xr:uid="{E8454CE9-11F2-4BCC-8D11-C55E62637C19}"/>
    <cellStyle name="60% - akcent 5 25 2" xfId="2802" xr:uid="{37830959-07B5-4409-834D-913D12E3E6A2}"/>
    <cellStyle name="60% - akcent 5 26" xfId="1352" xr:uid="{0D07EBD2-DDC9-4A37-B0BA-9DDE6FF535EE}"/>
    <cellStyle name="60% - akcent 5 26 2" xfId="2859" xr:uid="{61EDE161-82D7-4041-98D1-31B8A4F19237}"/>
    <cellStyle name="60% - akcent 5 27" xfId="1353" xr:uid="{B7F82704-D506-45E2-A08A-9F7EFDB40BCF}"/>
    <cellStyle name="60% - akcent 5 27 2" xfId="2691" xr:uid="{6FF1E445-7FCF-4683-BA37-AC2B018569D0}"/>
    <cellStyle name="60% - akcent 5 28" xfId="1354" xr:uid="{3E869190-4780-4704-8085-E7D92FB63B05}"/>
    <cellStyle name="60% - akcent 5 28 2" xfId="2753" xr:uid="{06EF0A87-6D58-43FF-BBFA-0A97EF60A7C1}"/>
    <cellStyle name="60% - akcent 5 29" xfId="1355" xr:uid="{D1EECCD4-5353-4855-8FDC-0F40FA760B24}"/>
    <cellStyle name="60% - akcent 5 29 2" xfId="2726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74" xr:uid="{D777F522-5381-4A82-A744-B61FBF5F4A3C}"/>
    <cellStyle name="60% - akcent 5 31" xfId="1359" xr:uid="{E62FEDE9-653E-475D-A4DB-14C8FFB379B0}"/>
    <cellStyle name="60% - akcent 5 31 2" xfId="2684" xr:uid="{27E712FD-D976-40A1-9715-DBF27EE71C8E}"/>
    <cellStyle name="60% - akcent 5 32" xfId="1360" xr:uid="{72F84558-BF14-4B69-9189-CA589727701E}"/>
    <cellStyle name="60% - akcent 5 32 2" xfId="3067" xr:uid="{41A27255-AA1E-421C-88D6-A1A35A09784E}"/>
    <cellStyle name="60% - akcent 5 33" xfId="1361" xr:uid="{BF17B790-973E-46CA-9FB1-BF710AF7297A}"/>
    <cellStyle name="60% - akcent 5 33 2" xfId="3037" xr:uid="{AC26650B-B983-4BDA-9BA4-7ABECB0768A9}"/>
    <cellStyle name="60% - akcent 5 34" xfId="1362" xr:uid="{405D39CF-C5E7-45D7-A68C-BA5837F7C8E4}"/>
    <cellStyle name="60% - akcent 5 34 2" xfId="3104" xr:uid="{AC64135B-5CDE-4CCE-997D-276407A6F129}"/>
    <cellStyle name="60% - akcent 5 35" xfId="1363" xr:uid="{198CFFE1-F2B5-46B3-A50A-C927B0264671}"/>
    <cellStyle name="60% - akcent 5 35 2" xfId="3110" xr:uid="{FE636F99-D40D-4D7E-AF5E-7014AAEE65AE}"/>
    <cellStyle name="60% - akcent 5 36" xfId="1364" xr:uid="{301BE1A7-E266-4AD8-BEA1-76224CAFD66C}"/>
    <cellStyle name="60% - akcent 5 36 2" xfId="3116" xr:uid="{5E881B81-56D9-425D-98A2-D3645D7EC253}"/>
    <cellStyle name="60% - akcent 5 37" xfId="1365" xr:uid="{2844AAC6-D1C3-482C-822B-F0C8A911C1DA}"/>
    <cellStyle name="60% - akcent 5 37 2" xfId="3122" xr:uid="{E014F4FA-AFA0-461D-B858-F2F971D6BDB4}"/>
    <cellStyle name="60% - akcent 5 38" xfId="1366" xr:uid="{6B1A998B-89FF-4CB0-B6A5-110E2FB29F06}"/>
    <cellStyle name="60% - akcent 5 38 2" xfId="3127" xr:uid="{B48AE703-B084-415F-9E26-BFF8A43E6633}"/>
    <cellStyle name="60% - akcent 5 39" xfId="1367" xr:uid="{3DCE1326-33B6-4E44-8C2F-C36B501496D1}"/>
    <cellStyle name="60% - akcent 5 39 2" xfId="3132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37" xr:uid="{77088902-5D32-40A3-B8A1-E56294B8147D}"/>
    <cellStyle name="60% - akcent 5 41" xfId="1371" xr:uid="{BD2B89F2-C2C1-4066-99AD-6057B595BFC7}"/>
    <cellStyle name="60% - akcent 5 41 2" xfId="3142" xr:uid="{88DC96A2-D591-459E-B582-9A1E0DC8C95E}"/>
    <cellStyle name="60% - akcent 5 42" xfId="1372" xr:uid="{2DCA0C60-D7CB-45C2-AE80-4716F0C77643}"/>
    <cellStyle name="60% - akcent 5 42 2" xfId="3147" xr:uid="{04C50377-634C-41DA-BB0D-3283C3C141C8}"/>
    <cellStyle name="60% - akcent 5 43" xfId="1373" xr:uid="{EFB31BC0-6E68-4732-8F1B-86DD4D3510A0}"/>
    <cellStyle name="60% - akcent 5 43 2" xfId="3152" xr:uid="{5888CCE6-3233-46A0-9E53-41A97572F1F5}"/>
    <cellStyle name="60% - akcent 5 44" xfId="1374" xr:uid="{1E8DC365-8E82-4473-ADB1-795F0E97BF68}"/>
    <cellStyle name="60% - akcent 5 44 2" xfId="3227" xr:uid="{EF74E98A-EF21-478E-9FED-C04774762492}"/>
    <cellStyle name="60% - akcent 5 45" xfId="1375" xr:uid="{C6933882-FBBA-45D2-AE59-EB844B213477}"/>
    <cellStyle name="60% - akcent 5 45 2" xfId="3269" xr:uid="{83C1B6CB-A073-471D-8B86-E67B331FA965}"/>
    <cellStyle name="60% - akcent 5 46" xfId="1376" xr:uid="{A9F9C4F2-F70D-4609-B481-8C14FE0832B2}"/>
    <cellStyle name="60% - akcent 5 46 2" xfId="3299" xr:uid="{BEA8D6B4-4241-4229-A87F-49DB066F2050}"/>
    <cellStyle name="60% - akcent 5 47" xfId="1377" xr:uid="{8D997CC1-DC19-4A7B-8125-AAF51AFD99F1}"/>
    <cellStyle name="60% - akcent 5 47 2" xfId="3280" xr:uid="{7BEB9E7B-9EB6-47A0-95A6-851D428814D7}"/>
    <cellStyle name="60% - akcent 5 48" xfId="1378" xr:uid="{EA084B62-02B0-41DA-B7E4-1B6AD6A94DED}"/>
    <cellStyle name="60% - akcent 5 48 2" xfId="3264" xr:uid="{BFECDF89-1961-4319-A0B5-20E392CABE9A}"/>
    <cellStyle name="60% - akcent 5 49" xfId="1379" xr:uid="{BF586DB0-9382-4517-BBB2-629BFF63C486}"/>
    <cellStyle name="60% - akcent 5 49 2" xfId="3255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86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23" xr:uid="{13CDD2AC-7574-4129-8155-929D055ABB2D}"/>
    <cellStyle name="60% - akcent 5 9" xfId="1388" xr:uid="{4AF7C5DA-99DE-4E54-AC49-AB57BB7AC9EE}"/>
    <cellStyle name="60% - akcent 5 9 2" xfId="2681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6" xr:uid="{B6FB9F6E-2D8D-432B-BFCB-0A7A47278124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IMPORT" xfId="3464" xr:uid="{4A706965-71F3-4EC6-9597-A50B2B529007}"/>
    <cellStyle name="60% — akcent 5_IMPORT" xfId="3465" xr:uid="{A93075E3-AE2D-4FA1-89F8-A130DDEEB33B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IMPORT" xfId="3468" xr:uid="{D1DB2D94-8BFB-40F6-8BF2-943FF1B0DA7E}"/>
    <cellStyle name="60% — akcent 5_slownik_1_slownik" xfId="3611" xr:uid="{99B8E275-89CD-4287-8500-8CB37E6351D2}"/>
    <cellStyle name="60% - akcent 5_slownik_2" xfId="3469" xr:uid="{4CDD59D0-59A0-4E3A-A205-A949656AA9CE}"/>
    <cellStyle name="60% — akcent 5_slownik_2" xfId="3470" xr:uid="{1B607D29-132E-429C-B749-6A980EF88AF2}"/>
    <cellStyle name="60% - akcent 5_slownik_3" xfId="3612" xr:uid="{39166518-71DD-41FA-9BD1-55E4E9EBA10B}"/>
    <cellStyle name="60% — akcent 5_slownik_3" xfId="3613" xr:uid="{8C8E9B69-4F9F-4F01-B781-5D5C34A742E7}"/>
    <cellStyle name="60% - akcent 5_slownik_IMPORT" xfId="3467" xr:uid="{B4527249-9ACA-4F7C-813B-47EA36B1A053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17" xr:uid="{39ED6712-BB21-4E90-BB34-C9BC1BBB2567}"/>
    <cellStyle name="60% - akcent 6 11" xfId="1404" xr:uid="{A2A78BC8-450E-4ADB-A080-6F0D5EAF2EB4}"/>
    <cellStyle name="60% - akcent 6 11 2" xfId="2615" xr:uid="{64CD1C63-C6BC-4353-842A-6C8AF9F0AEAA}"/>
    <cellStyle name="60% - akcent 6 12" xfId="1405" xr:uid="{105FD65E-A24C-4D8A-83DE-C5862F2D35D6}"/>
    <cellStyle name="60% - akcent 6 12 2" xfId="2772" xr:uid="{F140867E-CFB0-4602-AC78-6858F9E181F9}"/>
    <cellStyle name="60% - akcent 6 13" xfId="1406" xr:uid="{604C4F7E-5EBB-4333-847C-D67F2A3A0CE9}"/>
    <cellStyle name="60% - akcent 6 13 2" xfId="2719" xr:uid="{4B8972F1-FFBA-4CE1-A527-53CD6A7B3AB7}"/>
    <cellStyle name="60% - akcent 6 14" xfId="1407" xr:uid="{666CD301-BAB2-4655-A011-43D2D295FDCC}"/>
    <cellStyle name="60% - akcent 6 14 2" xfId="2743" xr:uid="{0D9A7C5B-B930-4629-B8A1-2FDBD594A060}"/>
    <cellStyle name="60% - akcent 6 15" xfId="1408" xr:uid="{9E9D7224-F36E-484A-B2CB-39A884781253}"/>
    <cellStyle name="60% - akcent 6 15 2" xfId="3012" xr:uid="{2834F26A-5F3F-44E5-8C1D-CF0852C1516A}"/>
    <cellStyle name="60% - akcent 6 16" xfId="1409" xr:uid="{7FF83874-EE8D-43D1-90A0-8F85D01DAF94}"/>
    <cellStyle name="60% - akcent 6 16 2" xfId="2620" xr:uid="{023A6057-8AB4-40CA-B971-6E1C3E67556F}"/>
    <cellStyle name="60% - akcent 6 17" xfId="1410" xr:uid="{E0B18CCC-8067-4DFB-8DE5-23A5470BFB03}"/>
    <cellStyle name="60% - akcent 6 17 2" xfId="2769" xr:uid="{CAEC23E3-53FD-4F18-B2B2-ABACDF099249}"/>
    <cellStyle name="60% - akcent 6 18" xfId="1411" xr:uid="{C175B7BC-1557-4E0C-8E7B-FB7B8DF39D94}"/>
    <cellStyle name="60% - akcent 6 18 2" xfId="3062" xr:uid="{AE58FC37-6494-47DC-9261-DD1869AC8172}"/>
    <cellStyle name="60% - akcent 6 19" xfId="1412" xr:uid="{941BDF02-9627-4034-9690-1C309AC59838}"/>
    <cellStyle name="60% - akcent 6 19 2" xfId="2806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0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09" xr:uid="{F6544049-354F-4CB0-9B30-6D09B892633F}"/>
    <cellStyle name="60% - akcent 6 21" xfId="1419" xr:uid="{A3E77F41-224C-4C5D-A126-CD8ACE926DEC}"/>
    <cellStyle name="60% - akcent 6 21 2" xfId="3064" xr:uid="{49463A26-3001-4B11-BB0B-0D3AA85ABB57}"/>
    <cellStyle name="60% - akcent 6 22" xfId="1420" xr:uid="{3BCA6A3A-9534-41E1-B3AA-7EA0DA3A6912}"/>
    <cellStyle name="60% - akcent 6 22 2" xfId="2909" xr:uid="{FEB30CFF-35C9-4A91-8066-E36ECFD28F22}"/>
    <cellStyle name="60% - akcent 6 23" xfId="1421" xr:uid="{72E3419B-7FA2-4DE6-BF53-0DEE1F6996E0}"/>
    <cellStyle name="60% - akcent 6 23 2" xfId="3029" xr:uid="{AA26C192-CCE7-47BB-91DF-0EA158E294E9}"/>
    <cellStyle name="60% - akcent 6 24" xfId="1422" xr:uid="{075D8AA3-79B2-4D86-9DE2-F82F985E973B}"/>
    <cellStyle name="60% - akcent 6 24 2" xfId="2610" xr:uid="{C5F20C23-96AD-491A-B1A8-865005824ED2}"/>
    <cellStyle name="60% - akcent 6 25" xfId="1423" xr:uid="{81BB9B7B-C82A-4496-99A8-8E45B6B07D7C}"/>
    <cellStyle name="60% - akcent 6 25 2" xfId="2775" xr:uid="{8B9F871E-B14F-4D78-8478-6724FF88BEFA}"/>
    <cellStyle name="60% - akcent 6 26" xfId="1424" xr:uid="{4677227B-2F33-405D-8296-F29473307435}"/>
    <cellStyle name="60% - akcent 6 26 2" xfId="2718" xr:uid="{C39B11E1-5DFC-49D4-BA35-6C6C260367EA}"/>
    <cellStyle name="60% - akcent 6 27" xfId="1425" xr:uid="{54F4E791-C466-41E8-B93E-73080512AB2E}"/>
    <cellStyle name="60% - akcent 6 27 2" xfId="2964" xr:uid="{70E647FA-9EE8-4568-905D-3909DB092392}"/>
    <cellStyle name="60% - akcent 6 28" xfId="1426" xr:uid="{C66C480A-D36D-44F2-ABB6-5D0FAC22FB51}"/>
    <cellStyle name="60% - akcent 6 28 2" xfId="2638" xr:uid="{98932FBE-C5BF-4AD8-8E9B-B0D46D9E935C}"/>
    <cellStyle name="60% - akcent 6 29" xfId="1427" xr:uid="{4AB984BA-3718-4FEC-8C04-E876553B29A2}"/>
    <cellStyle name="60% - akcent 6 29 2" xfId="2886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77" xr:uid="{07CE256B-7348-4CB3-A10F-71FB22B38D34}"/>
    <cellStyle name="60% - akcent 6 31" xfId="1431" xr:uid="{614ACA1B-03E1-44A0-892A-285D4CE7DEC7}"/>
    <cellStyle name="60% - akcent 6 31 2" xfId="2577" xr:uid="{0A8915A8-7021-4E33-A19B-EBBF7424CB62}"/>
    <cellStyle name="60% - akcent 6 32" xfId="1432" xr:uid="{C87B72F4-5AEB-47EF-B72E-A817B1C427C3}"/>
    <cellStyle name="60% - akcent 6 32 2" xfId="2788" xr:uid="{68224520-CD8B-489E-A095-CB055525C168}"/>
    <cellStyle name="60% - akcent 6 33" xfId="1433" xr:uid="{C10F7E56-F3CB-4864-8F7D-6B1E5F7EAFCA}"/>
    <cellStyle name="60% - akcent 6 33 2" xfId="2714" xr:uid="{4076123B-91C4-42F7-93C8-EF5D517C2F78}"/>
    <cellStyle name="60% - akcent 6 34" xfId="1434" xr:uid="{7F69ACBE-E49E-472E-9292-D33A64BD04FF}"/>
    <cellStyle name="60% - akcent 6 34 2" xfId="2745" xr:uid="{BF7E23E5-0761-4A8C-916F-1252D7B58009}"/>
    <cellStyle name="60% - akcent 6 35" xfId="1435" xr:uid="{0853FA9C-7CFA-4D32-99AF-B6C6BB9BD4B6}"/>
    <cellStyle name="60% - akcent 6 35 2" xfId="2732" xr:uid="{14E988CA-1241-47D7-BBB6-D337C50EE2AC}"/>
    <cellStyle name="60% - akcent 6 36" xfId="1436" xr:uid="{C230BC20-07E0-4649-98A3-807212F48DE6}"/>
    <cellStyle name="60% - akcent 6 36 2" xfId="2733" xr:uid="{68553D6B-9AB7-4FD5-8A27-F7E78A3CB4A6}"/>
    <cellStyle name="60% - akcent 6 37" xfId="1437" xr:uid="{B25E64A3-3E47-44BD-A567-825283158DF5}"/>
    <cellStyle name="60% - akcent 6 37 2" xfId="2962" xr:uid="{7E8AA72F-718D-42C3-88D7-A22EC697B0C3}"/>
    <cellStyle name="60% - akcent 6 38" xfId="1438" xr:uid="{84439745-6A40-4ADF-A6FC-ABBFFD22094D}"/>
    <cellStyle name="60% - akcent 6 38 2" xfId="2640" xr:uid="{D4ECE189-157F-45AF-A767-13260761A47E}"/>
    <cellStyle name="60% - akcent 6 39" xfId="1439" xr:uid="{CC1B426E-AB6A-4E4E-968E-1D0A047A686E}"/>
    <cellStyle name="60% - akcent 6 39 2" xfId="2762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65" xr:uid="{2DAA60A4-8902-4914-B170-517EBD8F8CC1}"/>
    <cellStyle name="60% - akcent 6 41" xfId="1444" xr:uid="{DC32AB96-508A-4CE2-B457-A7CABC0C2B09}"/>
    <cellStyle name="60% - akcent 6 41 2" xfId="3055" xr:uid="{90E7ABF6-8C94-4C44-86DF-AB07A5696A0B}"/>
    <cellStyle name="60% - akcent 6 42" xfId="1445" xr:uid="{ABCC8B0B-9BE4-486F-893D-FEFC3011DB09}"/>
    <cellStyle name="60% - akcent 6 42 2" xfId="2594" xr:uid="{ECD4B0A0-A7C9-4048-A078-28536E50B1B2}"/>
    <cellStyle name="60% - akcent 6 43" xfId="1446" xr:uid="{7CF46C18-AB12-427A-AB97-8F6B5AA5BD76}"/>
    <cellStyle name="60% - akcent 6 43 2" xfId="2780" xr:uid="{2AAC8944-675F-4AF1-A151-77BA4930FA45}"/>
    <cellStyle name="60% - akcent 6 44" xfId="1447" xr:uid="{87BCC89D-9E33-444B-BD77-67448326D921}"/>
    <cellStyle name="60% - akcent 6 44 2" xfId="3229" xr:uid="{2A927313-251C-498B-A1C9-A473ADCD61E6}"/>
    <cellStyle name="60% - akcent 6 45" xfId="1448" xr:uid="{44918AA7-6772-42C5-BDEB-BCB8E86F7DAA}"/>
    <cellStyle name="60% - akcent 6 45 2" xfId="3237" xr:uid="{07F7E111-A42E-4184-9214-104BB6498F76}"/>
    <cellStyle name="60% - akcent 6 46" xfId="1449" xr:uid="{F9C50A6A-DB77-4AE5-A3FC-47EDE2C60C25}"/>
    <cellStyle name="60% - akcent 6 46 2" xfId="3298" xr:uid="{E3A584ED-791B-4260-A48C-6A1289F2F9DB}"/>
    <cellStyle name="60% - akcent 6 47" xfId="1450" xr:uid="{5FC74756-7F20-43B3-951B-33A3847C4C2F}"/>
    <cellStyle name="60% - akcent 6 47 2" xfId="3297" xr:uid="{00964C7D-494C-42C4-89DB-C349CE0AFFCF}"/>
    <cellStyle name="60% - akcent 6 48" xfId="1451" xr:uid="{DAB4C89A-4A7E-49E8-A18A-EEA49511C1E9}"/>
    <cellStyle name="60% - akcent 6 48 2" xfId="3287" xr:uid="{B70A9B03-8AF8-4710-BE86-E4E8FA028A14}"/>
    <cellStyle name="60% - akcent 6 49" xfId="1452" xr:uid="{8F4AED46-313E-414B-9289-7EEF27BDB3AD}"/>
    <cellStyle name="60% - akcent 6 49 2" xfId="3254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87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24" xr:uid="{4FC2E7FB-F279-47F1-B078-49F06C761F98}"/>
    <cellStyle name="60% - akcent 6 9" xfId="1463" xr:uid="{2AEBE1F9-50B4-4E46-9B4A-0552CB5BC835}"/>
    <cellStyle name="60% - akcent 6 9 2" xfId="2683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3" xr:uid="{274FD8B9-AA5F-4B00-9034-C3A09B6F0DCE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IMPORT" xfId="3471" xr:uid="{F471C1C4-3F20-4C1D-A787-645078C7E3F2}"/>
    <cellStyle name="60% — akcent 6_IMPORT" xfId="3472" xr:uid="{7A155747-3582-4AC2-B656-26488B9ED351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IMPORT" xfId="3475" xr:uid="{219A4741-6F66-4D4B-A5DF-694E5B2CA65C}"/>
    <cellStyle name="60% — akcent 6_slownik_1_slownik" xfId="3614" xr:uid="{F5328838-3B92-442E-A937-E4944C802E88}"/>
    <cellStyle name="60% - akcent 6_slownik_2" xfId="3476" xr:uid="{3E29BBCB-2B6C-49D7-822B-EA9581FAD2EB}"/>
    <cellStyle name="60% — akcent 6_slownik_2" xfId="3477" xr:uid="{AC58255F-D179-4F01-A28B-FC2E1E7BC756}"/>
    <cellStyle name="60% - akcent 6_slownik_3" xfId="3615" xr:uid="{52B2BA8A-B9E4-420F-9485-231A0D2510BA}"/>
    <cellStyle name="60% — akcent 6_slownik_3" xfId="3616" xr:uid="{CBF2A916-D0DC-4DC1-979D-448297154402}"/>
    <cellStyle name="60% - akcent 6_slownik_IMPORT" xfId="3474" xr:uid="{ECACC871-6645-4A96-90E2-43DCAC3E7741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PROD" xfId="3478" xr:uid="{9BC11912-3461-43BC-B5F3-CFDD70C0BC68}"/>
    <cellStyle name="Accent 13" xfId="1483" xr:uid="{332A7004-68C0-4D39-BFFB-05F06C70E955}"/>
    <cellStyle name="Accent 2" xfId="1484" xr:uid="{8416B2BB-90FD-44BC-8E2C-DB542096AE65}"/>
    <cellStyle name="Accent 2 15" xfId="1485" xr:uid="{DECF95A6-1690-46B9-9EC5-AC2FE1A2D1C4}"/>
    <cellStyle name="Accent 2_PROD" xfId="3479" xr:uid="{FA61B34D-396F-4814-BC87-491D900244C3}"/>
    <cellStyle name="Accent 3" xfId="1486" xr:uid="{F6D3195F-EADB-4D81-8EE4-3A9B813972EF}"/>
    <cellStyle name="Accent 3 16" xfId="1487" xr:uid="{79C8A464-34F1-49C2-91AE-47387621C3AF}"/>
    <cellStyle name="Accent 3_PROD" xfId="3480" xr:uid="{B1FDCA5B-AF32-411B-922C-AFAC19B8C0B0}"/>
    <cellStyle name="Accent_PROD" xfId="3481" xr:uid="{884646AC-C297-454A-A7DB-55AE6330162F}"/>
    <cellStyle name="Accent1" xfId="1488" xr:uid="{D36802DB-F1A3-46F6-98E3-B973CE0B175B}"/>
    <cellStyle name="Accent1 - 20%" xfId="1489" xr:uid="{F5A5599C-E3DF-40F0-9BF0-A17D55DAF110}"/>
    <cellStyle name="Accent1 - 20% 2" xfId="1490" xr:uid="{247FE606-A0C4-477C-9958-EE811A1E9C5F}"/>
    <cellStyle name="Accent1 - 20% 2 2" xfId="2289" xr:uid="{E2100BF5-B72B-4069-BB58-3D24B5519E90}"/>
    <cellStyle name="Accent1 - 20% 2_IMPORT" xfId="3482" xr:uid="{C5D08C12-3D42-4463-A19B-DD38F12C40E0}"/>
    <cellStyle name="Accent1 - 20% 3" xfId="1491" xr:uid="{4B8D153C-8C3A-415A-B35D-40144F91A4E6}"/>
    <cellStyle name="Accent1 - 20% 3 2" xfId="2290" xr:uid="{122A3D31-5FB1-4439-9EDD-972F8EC8E476}"/>
    <cellStyle name="Accent1 - 20% 3_IMPORT" xfId="3483" xr:uid="{19F31AAB-3C4F-42E5-956B-6FA5DC002CAC}"/>
    <cellStyle name="Accent1 - 20% 4" xfId="1492" xr:uid="{9A9DAA51-644E-4FB8-8D89-F371CD29E538}"/>
    <cellStyle name="Accent1 - 20% 4 2" xfId="2371" xr:uid="{FA3B011A-860E-4D65-81E7-3E1FD6736960}"/>
    <cellStyle name="Accent1 - 20% 5" xfId="2288" xr:uid="{F59D16EE-6104-414C-A7CC-C3CE14C31AE3}"/>
    <cellStyle name="Accent1 - 20%_03ceny39" xfId="1493" xr:uid="{73DCF03A-0516-448C-BBDF-453C37759B52}"/>
    <cellStyle name="Accent1 - 40%" xfId="1494" xr:uid="{3CA9034E-73B4-4888-96AA-8131E94F37E4}"/>
    <cellStyle name="Accent1 - 40% 2" xfId="1495" xr:uid="{611A7DDD-FC71-4828-94F5-A14559E567C7}"/>
    <cellStyle name="Accent1 - 40% 2 2" xfId="2397" xr:uid="{CAD98326-8050-49BD-AE8F-3EFBDFFA3255}"/>
    <cellStyle name="Accent1 - 40% 3" xfId="2291" xr:uid="{F18C91A0-E4F7-471D-95B4-664C70B2459F}"/>
    <cellStyle name="Accent1 - 40%_Additional price" xfId="1496" xr:uid="{591636DC-E0B1-4CC1-8893-0A74890F7841}"/>
    <cellStyle name="Accent1 - 60%" xfId="1497" xr:uid="{6342E94D-0D0A-4F7E-A895-A98D4572DA73}"/>
    <cellStyle name="Accent1 - 60% 2" xfId="1498" xr:uid="{0C4B35F0-96F1-4F11-8950-A8FBF9311D29}"/>
    <cellStyle name="Accent1 - 60%_Additional price" xfId="1499" xr:uid="{1971E0D0-2197-475D-ACDB-E10C53329AC3}"/>
    <cellStyle name="Accent1 2" xfId="1500" xr:uid="{2390C4C0-A7FC-4471-B8BA-0A58CB21D46A}"/>
    <cellStyle name="Accent1 3" xfId="1501" xr:uid="{DB2CA31D-AA6E-47C0-8820-1260ED73145D}"/>
    <cellStyle name="Accent1 4" xfId="1502" xr:uid="{A6840FBB-73D7-4076-884A-2D98C585AAF5}"/>
    <cellStyle name="Accent1 5" xfId="1503" xr:uid="{1BCA6015-B654-4C04-91B1-104C3A6A7508}"/>
    <cellStyle name="Accent1 6" xfId="1504" xr:uid="{92BA619F-CD39-488F-9A0B-B376C182AEC5}"/>
    <cellStyle name="Accent1 7" xfId="1505" xr:uid="{F46C3073-10A5-44F5-831E-2F008571C030}"/>
    <cellStyle name="Accent1 8" xfId="1506" xr:uid="{7A8EAC7D-58E1-408F-AC93-477E06F0CB96}"/>
    <cellStyle name="Accent1_50_ceny" xfId="1507" xr:uid="{E599A0BD-E960-4CAD-BB5C-67FF8CB363A2}"/>
    <cellStyle name="Accent2" xfId="1508" xr:uid="{F5AFCCC8-E2C7-485F-9C8D-7086A09EFF8C}"/>
    <cellStyle name="Accent2 - 20%" xfId="1509" xr:uid="{DCD24533-13F5-4B9B-816D-BB90B88FFDFB}"/>
    <cellStyle name="Accent2 - 20% 2" xfId="1510" xr:uid="{94D19732-AADA-4694-AD1F-EEEB62385ED1}"/>
    <cellStyle name="Accent2 - 20% 2 2" xfId="2293" xr:uid="{8469062D-D586-4412-97D9-042BE0E3B1ED}"/>
    <cellStyle name="Accent2 - 20% 2_IMPORT" xfId="3484" xr:uid="{F5BB05EC-E807-43D1-A68D-FED35ECBEB76}"/>
    <cellStyle name="Accent2 - 20% 3" xfId="1511" xr:uid="{31B640A8-90CB-42AC-A981-C330833B0AC5}"/>
    <cellStyle name="Accent2 - 20% 3 2" xfId="2294" xr:uid="{7E24CF4F-32DC-4290-8E2A-08B40199A879}"/>
    <cellStyle name="Accent2 - 20% 3_IMPORT" xfId="3485" xr:uid="{63CEEC53-931B-4B0D-9629-AEB265943CEA}"/>
    <cellStyle name="Accent2 - 20% 4" xfId="1512" xr:uid="{C9227D84-171B-477A-AE6D-E861A84D0F14}"/>
    <cellStyle name="Accent2 - 20% 4 2" xfId="2372" xr:uid="{6F2DD5FE-FB1F-4D97-A5F7-6EBBC0D691D0}"/>
    <cellStyle name="Accent2 - 20% 5" xfId="2292" xr:uid="{3BD0B454-FAB4-4562-80C4-A2B69FBC0B1A}"/>
    <cellStyle name="Accent2 - 20%_03ceny39" xfId="1513" xr:uid="{DFCA8FB2-F3F4-428D-9A16-FCB648D7C817}"/>
    <cellStyle name="Accent2 - 40%" xfId="1514" xr:uid="{9418522D-5786-482D-B1BC-2281DC6875F7}"/>
    <cellStyle name="Accent2 - 40% 2" xfId="1515" xr:uid="{C50D671C-1E88-4B39-BF21-580F70B2E02E}"/>
    <cellStyle name="Accent2 - 40% 2 2" xfId="2398" xr:uid="{1A666BA9-34D5-4AFC-AD5D-E972E6C92D05}"/>
    <cellStyle name="Accent2 - 40% 3" xfId="2295" xr:uid="{01138DD3-49E2-417B-858E-3552AA675238}"/>
    <cellStyle name="Accent2 - 40%_Additional price" xfId="1516" xr:uid="{C82690F4-A26E-4D3A-A4EA-C9852D759C91}"/>
    <cellStyle name="Accent2 - 60%" xfId="1517" xr:uid="{75E9163C-F4EA-4BB7-A191-2D9FAC4986AE}"/>
    <cellStyle name="Accent2 - 60% 2" xfId="1518" xr:uid="{700865A8-98B5-4DA2-A487-F28D7F96EC9E}"/>
    <cellStyle name="Accent2 - 60%_Additional price" xfId="1519" xr:uid="{72E021A5-4683-472C-9C14-4DAAF09C9640}"/>
    <cellStyle name="Accent2 2" xfId="1520" xr:uid="{8A582224-E35E-40BB-B19E-0F677B287838}"/>
    <cellStyle name="Accent2 3" xfId="1521" xr:uid="{E7347406-3E41-4B53-AEC1-2891B807CA10}"/>
    <cellStyle name="Accent2 4" xfId="1522" xr:uid="{9DE52CD2-A0F5-4BCF-88DD-CC67937679C8}"/>
    <cellStyle name="Accent2 5" xfId="1523" xr:uid="{F104B9B5-FB8D-4EE9-8E41-10D62DBEB97C}"/>
    <cellStyle name="Accent2 6" xfId="1524" xr:uid="{54767D29-2265-4216-95B0-FE8E8F2B04B1}"/>
    <cellStyle name="Accent2 7" xfId="1525" xr:uid="{DF9E7A1C-B7F9-4C15-AF80-745503259E2C}"/>
    <cellStyle name="Accent2 8" xfId="1526" xr:uid="{F36AD338-C04B-4737-841C-75EF64440489}"/>
    <cellStyle name="Accent2_50_ceny" xfId="1527" xr:uid="{1B874E48-D36F-4686-944E-628D36E50CE0}"/>
    <cellStyle name="Accent3" xfId="1528" xr:uid="{BF0EF5D6-77FF-49AA-96F2-D961BFFD7D12}"/>
    <cellStyle name="Accent3 - 20%" xfId="1529" xr:uid="{1C2726CF-0A88-4398-8005-CDA7D4721397}"/>
    <cellStyle name="Accent3 - 20% 2" xfId="1530" xr:uid="{761996D4-C386-410B-9ED9-1F8BC7961722}"/>
    <cellStyle name="Accent3 - 20% 2 2" xfId="2297" xr:uid="{94231C94-1C97-4B6E-869D-295D7EB7D1EB}"/>
    <cellStyle name="Accent3 - 20% 2_IMPORT" xfId="3486" xr:uid="{8139CE23-8FB7-4868-88F8-3935998B5D6E}"/>
    <cellStyle name="Accent3 - 20% 3" xfId="1531" xr:uid="{B250D26A-26B5-4232-AF83-730CBA9CCD1D}"/>
    <cellStyle name="Accent3 - 20% 3 2" xfId="2298" xr:uid="{E0DE2E56-2D70-4373-9986-851E526AAA0A}"/>
    <cellStyle name="Accent3 - 20% 3_IMPORT" xfId="3487" xr:uid="{33A4BECE-4185-465F-B5B3-F07B67EA1103}"/>
    <cellStyle name="Accent3 - 20% 4" xfId="1532" xr:uid="{5F3AF5B2-F736-436D-B81F-122A0BB1C8BF}"/>
    <cellStyle name="Accent3 - 20% 4 2" xfId="2373" xr:uid="{F9E9BDBA-9741-4D70-B260-F652F54D9E36}"/>
    <cellStyle name="Accent3 - 20% 5" xfId="2296" xr:uid="{0A430420-AC83-4FF6-9365-137C81DF94C9}"/>
    <cellStyle name="Accent3 - 20%_03ceny39" xfId="1533" xr:uid="{36FAF4D3-FECE-433B-9E63-FDAB84FCACAC}"/>
    <cellStyle name="Accent3 - 40%" xfId="1534" xr:uid="{5092A5BA-7D1C-457A-A51C-BBE5FBEBFB44}"/>
    <cellStyle name="Accent3 - 40% 2" xfId="1535" xr:uid="{48E66349-6ACD-4A45-BADC-0593253A6D67}"/>
    <cellStyle name="Accent3 - 40% 2 2" xfId="2300" xr:uid="{932935E6-E267-484C-91DC-AAD7D54800DD}"/>
    <cellStyle name="Accent3 - 40% 2_IMPORT" xfId="3488" xr:uid="{8578C5C8-48D9-45C2-B2AE-6E5FF685637A}"/>
    <cellStyle name="Accent3 - 40% 3" xfId="1536" xr:uid="{368A4B4C-F725-4109-A81C-E1E784A44DD3}"/>
    <cellStyle name="Accent3 - 40% 3 2" xfId="2301" xr:uid="{3CFFE616-90D8-4B7C-B8EE-94A71043EB1D}"/>
    <cellStyle name="Accent3 - 40% 3_IMPORT" xfId="3489" xr:uid="{E08978FE-61E7-48ED-B309-9EDE66A58B02}"/>
    <cellStyle name="Accent3 - 40% 4" xfId="1537" xr:uid="{8BDA9E34-F79B-46F2-B305-C2A98323823C}"/>
    <cellStyle name="Accent3 - 40% 4 2" xfId="2374" xr:uid="{61A94B46-6C80-4640-A564-1B8656391AE4}"/>
    <cellStyle name="Accent3 - 40% 5" xfId="2299" xr:uid="{D748EDD9-929E-4835-931A-D1E08FC6231F}"/>
    <cellStyle name="Accent3 - 40%_03ceny39" xfId="1538" xr:uid="{9CC52FE3-C1D6-4AA7-9F22-5A9197D0AA59}"/>
    <cellStyle name="Accent3 - 60%" xfId="1539" xr:uid="{9415F055-8897-40C2-AAE0-D4C6F81412B4}"/>
    <cellStyle name="Accent3 - 60% 2" xfId="1540" xr:uid="{381D2611-6A8D-4990-9BF5-499726B8DAB0}"/>
    <cellStyle name="Accent3 - 60%_Additional price" xfId="1541" xr:uid="{4B2B6DB2-18B2-4813-8967-7D29582E1247}"/>
    <cellStyle name="Accent3 2" xfId="1542" xr:uid="{FA384F9B-6509-4A94-AE30-232B27A09C27}"/>
    <cellStyle name="Accent3 3" xfId="1543" xr:uid="{D053B7EA-A829-49ED-8722-D658D1095251}"/>
    <cellStyle name="Accent3 4" xfId="1544" xr:uid="{64E46292-8CF1-41D2-B72D-16C38A8B7BCB}"/>
    <cellStyle name="Accent3 5" xfId="1545" xr:uid="{999DFB7E-50B3-4E3F-87F1-F94F89F05957}"/>
    <cellStyle name="Accent3 6" xfId="1546" xr:uid="{F4D31224-DB8D-4685-A062-4ED5BE18D26E}"/>
    <cellStyle name="Accent3 7" xfId="1547" xr:uid="{3158E384-F860-478F-8077-6EEF120C66EE}"/>
    <cellStyle name="Accent3 8" xfId="1548" xr:uid="{C62C2D99-C9E3-4C19-8265-14C19B3B3CB9}"/>
    <cellStyle name="Accent3_50_ceny" xfId="1549" xr:uid="{0995331E-1029-4674-9206-992303B66993}"/>
    <cellStyle name="Accent4" xfId="1550" xr:uid="{5CB1EDB0-A4F7-4511-B482-2F33D29CB54E}"/>
    <cellStyle name="Accent4 - 20%" xfId="1551" xr:uid="{3FEB9D74-098A-4220-A6E5-809A67DE2F58}"/>
    <cellStyle name="Accent4 - 20% 2" xfId="1552" xr:uid="{66A7E9F6-7DC2-4923-AC69-06E9926B9967}"/>
    <cellStyle name="Accent4 - 20% 2 2" xfId="2303" xr:uid="{2F4266EC-0FD4-459C-BCAB-028D5995BD85}"/>
    <cellStyle name="Accent4 - 20% 2_IMPORT" xfId="3490" xr:uid="{72E9275C-FAB3-4702-B9F2-976DAFD23F6A}"/>
    <cellStyle name="Accent4 - 20% 3" xfId="1553" xr:uid="{5F81629A-D756-42B7-BA97-7F85FCCD5FEC}"/>
    <cellStyle name="Accent4 - 20% 3 2" xfId="2304" xr:uid="{EE469F82-7544-4F83-BD61-95F57561E678}"/>
    <cellStyle name="Accent4 - 20% 3_IMPORT" xfId="3491" xr:uid="{EC63913C-0E63-44FA-972D-0B47293CEA50}"/>
    <cellStyle name="Accent4 - 20% 4" xfId="1554" xr:uid="{A4E484DC-8F25-483C-BA67-25A15E800FF7}"/>
    <cellStyle name="Accent4 - 20% 4 2" xfId="2375" xr:uid="{0E92ADD2-2DAE-45BE-8FB4-B6B267501356}"/>
    <cellStyle name="Accent4 - 20% 5" xfId="2302" xr:uid="{14EC3D73-ABB0-45D6-BA28-C626EC0C8A4A}"/>
    <cellStyle name="Accent4 - 20%_03ceny39" xfId="1555" xr:uid="{F3293C82-70F1-4242-8045-2A1713A84BDB}"/>
    <cellStyle name="Accent4 - 40%" xfId="1556" xr:uid="{8A973E8A-E259-479A-BFEF-8E9EDDEEF5D7}"/>
    <cellStyle name="Accent4 - 40% 2" xfId="1557" xr:uid="{EE698C69-341B-428F-B1C4-FCFE0342F01A}"/>
    <cellStyle name="Accent4 - 40% 2 2" xfId="2399" xr:uid="{D10192B6-1AF5-43C2-B654-14780C5EC146}"/>
    <cellStyle name="Accent4 - 40% 3" xfId="2305" xr:uid="{84338A51-7128-4D49-9666-3B23ABD7D22F}"/>
    <cellStyle name="Accent4 - 40%_Additional price" xfId="1558" xr:uid="{ABAA277D-1248-4219-A1D8-6E1D13159DE5}"/>
    <cellStyle name="Accent4 - 60%" xfId="1559" xr:uid="{B722054D-6AC7-4D64-91E7-3254CCA0A91E}"/>
    <cellStyle name="Accent4 - 60% 2" xfId="1560" xr:uid="{6CF51BC8-0239-40DC-B2A1-1DD33661688D}"/>
    <cellStyle name="Accent4 - 60%_Additional price" xfId="1561" xr:uid="{0773E215-B770-404E-8411-68803021411C}"/>
    <cellStyle name="Accent4 2" xfId="1562" xr:uid="{10C53E6D-7BAB-4C74-9F4B-EBA4A88B8C0C}"/>
    <cellStyle name="Accent4 3" xfId="1563" xr:uid="{7BA5CDF8-8A2C-4276-8629-E1C776A7CDE7}"/>
    <cellStyle name="Accent4 4" xfId="1564" xr:uid="{38B2FCA6-49FD-4CD7-9C83-50AE4B59839C}"/>
    <cellStyle name="Accent4 5" xfId="1565" xr:uid="{39C3CA4E-CAC6-472C-805B-328548A2FDF8}"/>
    <cellStyle name="Accent4 6" xfId="1566" xr:uid="{20EA853F-88E1-45DD-811B-2936110E75C3}"/>
    <cellStyle name="Accent4 7" xfId="1567" xr:uid="{5C038D54-B138-45B7-8DAC-793394617DAF}"/>
    <cellStyle name="Accent4 8" xfId="1568" xr:uid="{7F917B36-A85C-45D6-8BD9-D471F71484B8}"/>
    <cellStyle name="Accent4_50_ceny" xfId="1569" xr:uid="{72BDC905-9BE4-48C5-AAD1-A0DE7303DD99}"/>
    <cellStyle name="Accent5" xfId="1570" xr:uid="{F6940A8A-80DF-448F-A4EE-C11C39DD021F}"/>
    <cellStyle name="Accent5 - 20%" xfId="1571" xr:uid="{0D13A2F2-C706-442A-A2D6-741B9C3F2470}"/>
    <cellStyle name="Accent5 - 20% 2" xfId="1572" xr:uid="{F5B40FB6-0003-4687-9758-77A13C6FA616}"/>
    <cellStyle name="Accent5 - 20% 2 2" xfId="2307" xr:uid="{FEB8F005-A96B-40E4-988F-BCACD2E89C2A}"/>
    <cellStyle name="Accent5 - 20% 2_IMPORT" xfId="3492" xr:uid="{565B3A08-6F95-4162-B3F8-6CC1E6AE2DEC}"/>
    <cellStyle name="Accent5 - 20% 3" xfId="1573" xr:uid="{7165DE7C-0FE5-4ECE-A0FF-72B7A78D00FE}"/>
    <cellStyle name="Accent5 - 20% 3 2" xfId="2308" xr:uid="{CE702667-09E9-45A5-A384-8B89955E6CF3}"/>
    <cellStyle name="Accent5 - 20% 3_IMPORT" xfId="3493" xr:uid="{0E19E29C-EED4-40F2-BA02-F1DE923FE4A9}"/>
    <cellStyle name="Accent5 - 20% 4" xfId="1574" xr:uid="{A091BA03-5DA4-4300-9AE2-35FAD5B28D6E}"/>
    <cellStyle name="Accent5 - 20% 4 2" xfId="2376" xr:uid="{4D55F760-41A1-4E06-A026-ED5018FDADA0}"/>
    <cellStyle name="Accent5 - 20% 5" xfId="2306" xr:uid="{4BCEF7F6-E84E-4C82-9627-4FE916CB199D}"/>
    <cellStyle name="Accent5 - 20%_03ceny39" xfId="1575" xr:uid="{FCC44CE6-3606-4C85-92E6-FD74BFE659CE}"/>
    <cellStyle name="Accent5 - 40%" xfId="1576" xr:uid="{FC226608-E74E-4985-BC32-9C7E29ACE935}"/>
    <cellStyle name="Accent5 - 40% 2" xfId="1577" xr:uid="{E14EE6E0-36E9-4508-84F0-F2AFD4E17327}"/>
    <cellStyle name="Accent5 - 40% 2 2" xfId="2310" xr:uid="{ECDCEE11-820B-49D4-AD92-B61F63FB5F29}"/>
    <cellStyle name="Accent5 - 40% 2_IMPORT" xfId="3494" xr:uid="{3B861D2F-B658-450B-9D47-116935FCEBEF}"/>
    <cellStyle name="Accent5 - 40% 3" xfId="1578" xr:uid="{73357FBD-BA2C-43E4-8FA6-F2CD31EB55A1}"/>
    <cellStyle name="Accent5 - 40% 3 2" xfId="2311" xr:uid="{3EF2AEF3-B72C-4BD4-850A-A1AF68E07BF1}"/>
    <cellStyle name="Accent5 - 40% 3_IMPORT" xfId="3495" xr:uid="{75F14CF9-8B52-45D8-88C8-CC3C9E217071}"/>
    <cellStyle name="Accent5 - 40% 4" xfId="1579" xr:uid="{CFCF53E2-3EA9-43AA-95B1-D37D4447BA16}"/>
    <cellStyle name="Accent5 - 40% 4 2" xfId="2377" xr:uid="{4E145898-E320-4FB2-9512-80B43521481A}"/>
    <cellStyle name="Accent5 - 40% 5" xfId="2309" xr:uid="{ABAA5226-63CE-4290-84AA-65B49E9E15DC}"/>
    <cellStyle name="Accent5 - 40%_03ceny39" xfId="1580" xr:uid="{A85DB84F-CD7C-4EA7-9B77-E411D908C766}"/>
    <cellStyle name="Accent5 - 60%" xfId="1581" xr:uid="{C3413912-0AE2-407E-8FEE-3CFBDFC4D698}"/>
    <cellStyle name="Accent5 - 60% 2" xfId="1582" xr:uid="{80021F03-D174-4AE3-872A-A546C96F4678}"/>
    <cellStyle name="Accent5 - 60%_Additional price" xfId="1583" xr:uid="{C08C217F-A5F5-431A-AA82-60FF02348028}"/>
    <cellStyle name="Accent5 2" xfId="1584" xr:uid="{B97C2A72-C746-4BDD-AB68-5FD970483FD8}"/>
    <cellStyle name="Accent5 3" xfId="1585" xr:uid="{C13CF254-4A6E-4A90-A19F-E4E06AED093A}"/>
    <cellStyle name="Accent5 4" xfId="1586" xr:uid="{1B6CDCE6-6DEF-43E2-B301-84B77235B5F2}"/>
    <cellStyle name="Accent5 5" xfId="1587" xr:uid="{C69537C0-51C5-41BA-B3BA-AD3EE4F04A13}"/>
    <cellStyle name="Accent5 6" xfId="1588" xr:uid="{7B251487-7EE5-41B8-BD66-25D8C8E9C3F4}"/>
    <cellStyle name="Accent5 7" xfId="1589" xr:uid="{EF36DE44-5EA4-4447-9DCA-18CBE3ABA973}"/>
    <cellStyle name="Accent5 8" xfId="1590" xr:uid="{E269344D-D32F-4CF2-90D3-04928B8EA253}"/>
    <cellStyle name="Accent5_50_ceny" xfId="1591" xr:uid="{34CA822B-10F3-44B6-9303-736EACD746C5}"/>
    <cellStyle name="Accent6" xfId="1592" xr:uid="{51FC5A52-A6BA-4024-873A-9368051DCDC7}"/>
    <cellStyle name="Accent6 - 20%" xfId="1593" xr:uid="{782F9DD7-5952-4CC6-A39E-331F9CD34E96}"/>
    <cellStyle name="Accent6 - 20% 2" xfId="1594" xr:uid="{B9018196-ED2C-48F9-AB71-39533E17B6AA}"/>
    <cellStyle name="Accent6 - 20% 2 2" xfId="2400" xr:uid="{25E6ECD0-2601-4055-9F32-A1B25CB89D29}"/>
    <cellStyle name="Accent6 - 20% 3" xfId="2312" xr:uid="{3E274B69-BF71-468B-95FA-F65C55092A9B}"/>
    <cellStyle name="Accent6 - 20%_Additional price" xfId="1595" xr:uid="{2072E11C-5247-4ED3-8C5D-4A9CE7E8D4AC}"/>
    <cellStyle name="Accent6 - 40%" xfId="1596" xr:uid="{4128601C-C81B-43B3-BC2C-6A393AADCE41}"/>
    <cellStyle name="Accent6 - 40% 2" xfId="1597" xr:uid="{7F126CD2-151B-4F4B-BAA3-AFD6139CD655}"/>
    <cellStyle name="Accent6 - 40% 2 2" xfId="2314" xr:uid="{ABA8CFEA-9634-423C-BA6E-AD64CBEEB1FF}"/>
    <cellStyle name="Accent6 - 40% 2_IMPORT" xfId="3496" xr:uid="{88FE7CAF-7FDB-4BEA-A629-1F1C63FCF40D}"/>
    <cellStyle name="Accent6 - 40% 3" xfId="1598" xr:uid="{643A4192-DAB8-4408-ADBB-6E7048A72136}"/>
    <cellStyle name="Accent6 - 40% 3 2" xfId="2315" xr:uid="{849C7739-2A39-4F11-81CB-19F786430D22}"/>
    <cellStyle name="Accent6 - 40% 3_IMPORT" xfId="3497" xr:uid="{F386E5D0-A35F-41C1-808B-DA29418A5667}"/>
    <cellStyle name="Accent6 - 40% 4" xfId="2313" xr:uid="{F04D1978-D310-4524-96C8-9ED0D6D55104}"/>
    <cellStyle name="Accent6 - 40%_03ceny39" xfId="1599" xr:uid="{0F242943-4EDE-47DF-95B5-6C6FCF133A51}"/>
    <cellStyle name="Accent6 - 60%" xfId="1600" xr:uid="{195BA1A5-ACFF-4757-AD2A-6F586AA270F0}"/>
    <cellStyle name="Accent6 - 60% 2" xfId="1601" xr:uid="{9F1A1F16-2D4A-40C7-83C9-4CE56EAB431A}"/>
    <cellStyle name="Accent6 - 60% 3" xfId="1602" xr:uid="{1F95ED9E-EB3B-473F-8075-60003A6971DB}"/>
    <cellStyle name="Accent6 - 60%_03ceny39" xfId="1603" xr:uid="{4FF8E717-C573-477E-93F4-8B75E411E70C}"/>
    <cellStyle name="Accent6 2" xfId="1604" xr:uid="{809A78A3-7036-490A-875B-E108872F2706}"/>
    <cellStyle name="Accent6 3" xfId="1605" xr:uid="{52FDFE29-B1D1-471F-B843-3091E587766C}"/>
    <cellStyle name="Accent6 4" xfId="1606" xr:uid="{3DDB3938-7D21-42F6-A30D-8AD82A1FE295}"/>
    <cellStyle name="Accent6 5" xfId="1607" xr:uid="{1E2F4E77-5B9D-4804-A968-3FA5EDBB1769}"/>
    <cellStyle name="Accent6 6" xfId="1608" xr:uid="{A0A60861-8632-4885-A004-3A6FF7C70FC9}"/>
    <cellStyle name="Accent6 7" xfId="1609" xr:uid="{C6C6E879-25B0-4284-8509-1A1DFAD32BC7}"/>
    <cellStyle name="Accent6 8" xfId="1610" xr:uid="{78511F56-6D7E-4C84-AE3C-6A9915E9AFD9}"/>
    <cellStyle name="Accent6_50_ceny" xfId="1611" xr:uid="{51E6108E-3633-4587-AB1E-800C6FFCE838}"/>
    <cellStyle name="Akcent 1" xfId="3498" xr:uid="{66A78597-25FC-4626-BFD2-0220428F6C98}"/>
    <cellStyle name="Akcent 1 1" xfId="1612" xr:uid="{64D2CC53-CE39-4C57-9A61-629C3472CC77}"/>
    <cellStyle name="Akcent 1 2" xfId="1613" xr:uid="{D623FDA6-FA66-4076-835D-667935E88D92}"/>
    <cellStyle name="Akcent 1 2 2" xfId="1614" xr:uid="{DDD67C07-81CB-47E5-94C5-43EE7731A33B}"/>
    <cellStyle name="Akcent 1 2 3" xfId="1615" xr:uid="{FDF78269-F8D9-4939-877B-2400F4684997}"/>
    <cellStyle name="Akcent 1 2 4" xfId="1616" xr:uid="{544BDB8A-805D-4F52-8953-F3B5EB85624D}"/>
    <cellStyle name="Akcent 1 3" xfId="1617" xr:uid="{036400C6-20B8-49CD-9A77-74B21AD118DE}"/>
    <cellStyle name="Akcent 1 4" xfId="1618" xr:uid="{409A47A9-1B39-4F58-A920-CD5FD4705C0C}"/>
    <cellStyle name="Akcent 1 4 2" xfId="1619" xr:uid="{1C6D76F0-EFC4-4DF0-B687-FB3E59834622}"/>
    <cellStyle name="Akcent 1 5" xfId="1620" xr:uid="{BD739C0F-C66A-45B4-9053-D0FAB44C0911}"/>
    <cellStyle name="Akcent 1_Arkusz1" xfId="3499" xr:uid="{A863662A-7503-4AD5-A187-D1D77786E51C}"/>
    <cellStyle name="Akcent 2" xfId="3500" xr:uid="{BA9EC08D-0A90-42F2-836B-9EB8A8C104B5}"/>
    <cellStyle name="Akcent 2 1" xfId="1621" xr:uid="{4372CD38-B39F-4092-91D3-8ABB15648863}"/>
    <cellStyle name="Akcent 2 2" xfId="1622" xr:uid="{26439E51-B4FB-4077-B488-E9E5DFA01C6A}"/>
    <cellStyle name="Akcent 2 2 2" xfId="1623" xr:uid="{6E81F121-737F-4846-BB18-A2335C3F72AF}"/>
    <cellStyle name="Akcent 2 2 3" xfId="1624" xr:uid="{E00DC0A4-10BF-40F9-A9AB-82DA5CB0F3B8}"/>
    <cellStyle name="Akcent 2 2 4" xfId="1625" xr:uid="{CB1982EE-7E96-42AA-B554-D89DE290335F}"/>
    <cellStyle name="Akcent 2 3" xfId="1626" xr:uid="{8278864F-AC92-4AA5-8610-9DF52F4D2F36}"/>
    <cellStyle name="Akcent 2 4" xfId="1627" xr:uid="{B27E30F1-6572-4E9A-BF4F-6971D7C2DE00}"/>
    <cellStyle name="Akcent 2 4 2" xfId="1628" xr:uid="{1329D366-4D9C-4CCF-B66D-5243ADBD6ADE}"/>
    <cellStyle name="Akcent 2 5" xfId="1629" xr:uid="{926E0E93-6B78-4E4A-9C4D-5F10DE5074DA}"/>
    <cellStyle name="Akcent 2 6" xfId="1630" xr:uid="{44DEF9B9-7C44-4E28-985B-8369CD7C3792}"/>
    <cellStyle name="Akcent 2_Arkusz1" xfId="3501" xr:uid="{B38E5B19-E15E-42D5-9A38-1E57705A8CB5}"/>
    <cellStyle name="Akcent 3" xfId="3502" xr:uid="{145451FE-5D65-4051-9144-39C2E4ECD433}"/>
    <cellStyle name="Akcent 3 1" xfId="1631" xr:uid="{CE2C2B24-C9ED-4AA7-A858-027AE51AA421}"/>
    <cellStyle name="Akcent 3 2" xfId="1632" xr:uid="{8C39969B-0B09-4359-A802-3B59E485F22E}"/>
    <cellStyle name="Akcent 3 2 2" xfId="1633" xr:uid="{658492A7-83A8-46D8-8ECB-BA5076D4D4D2}"/>
    <cellStyle name="Akcent 3 2 3" xfId="1634" xr:uid="{76DED863-ABD1-44FB-8CC0-39101E556CCC}"/>
    <cellStyle name="Akcent 3 2 4" xfId="1635" xr:uid="{4CBFC83A-0EFA-4E15-8F8F-4F8D6A12216A}"/>
    <cellStyle name="Akcent 3 3" xfId="1636" xr:uid="{782C4CA7-2BD1-49E5-91D8-3814EC89D728}"/>
    <cellStyle name="Akcent 3 4" xfId="1637" xr:uid="{B1AFA2D7-8D82-4C00-B1B4-24F9410C910D}"/>
    <cellStyle name="Akcent 3 5" xfId="1638" xr:uid="{344A6963-028A-4562-9F47-F04E8DCAE4CF}"/>
    <cellStyle name="Akcent 3 5 2" xfId="1639" xr:uid="{A929A4BE-3E9C-40A8-9592-14B1111CC77A}"/>
    <cellStyle name="Akcent 3 6" xfId="1640" xr:uid="{B981EC42-D5D3-422B-B173-4D7585798E36}"/>
    <cellStyle name="Akcent 3 7" xfId="1641" xr:uid="{3EB38EF4-960D-4927-A2B2-0BFF77731B58}"/>
    <cellStyle name="Akcent 3_Arkusz1" xfId="3503" xr:uid="{AF0F7C30-BBA5-4F23-ACE3-A92953F7E0B0}"/>
    <cellStyle name="Akcent 4" xfId="3504" xr:uid="{87463D26-242F-4730-A077-FCBF8E5671DC}"/>
    <cellStyle name="Akcent 4 2" xfId="1642" xr:uid="{A289C01E-0AA6-47A0-9403-5115A8AB6FA7}"/>
    <cellStyle name="Akcent 4 2 2" xfId="1643" xr:uid="{C27AE12C-1A7D-48CD-AA3A-CC702594DB8E}"/>
    <cellStyle name="Akcent 4 2 3" xfId="1644" xr:uid="{EA9FE15A-78C4-4463-B518-2A8D7F1B20FE}"/>
    <cellStyle name="Akcent 4 2 4" xfId="1645" xr:uid="{13980181-F545-41E0-B332-9BEC5B620846}"/>
    <cellStyle name="Akcent 4 3" xfId="1646" xr:uid="{BFF0D51E-8FEC-455F-ADA4-2C883A0F79CC}"/>
    <cellStyle name="Akcent 4 4" xfId="1647" xr:uid="{F8234B3F-3C15-4834-AEDD-1AA62AF0FDF2}"/>
    <cellStyle name="Akcent 4 4 2" xfId="1648" xr:uid="{A5DC84E4-306D-4F64-AE77-36FBFD59F958}"/>
    <cellStyle name="Akcent 4 5" xfId="1649" xr:uid="{3FDA1D24-5753-47FC-A6EB-4302275E4A50}"/>
    <cellStyle name="Akcent 4_Arkusz1" xfId="3505" xr:uid="{3F27F59A-A537-4C46-BF2B-B9506A1D7C93}"/>
    <cellStyle name="Akcent 5" xfId="3506" xr:uid="{A3751047-ACAD-4BC8-89A8-69477CDFC2ED}"/>
    <cellStyle name="Akcent 5 2" xfId="1650" xr:uid="{6B1B281E-66FC-4208-AF8F-C826C9828251}"/>
    <cellStyle name="Akcent 5 2 2" xfId="1651" xr:uid="{2FEA6D4B-9846-4DEE-B002-305503522A11}"/>
    <cellStyle name="Akcent 5 2 3" xfId="1652" xr:uid="{A8EE9717-B5F9-4C3A-A9E5-046630882D14}"/>
    <cellStyle name="Akcent 5 2 4" xfId="1653" xr:uid="{4D682C5C-075E-4655-AF4C-EE512E4763A0}"/>
    <cellStyle name="Akcent 5 3" xfId="1654" xr:uid="{8B6F8B82-BB62-4AB5-9203-8620D24D3452}"/>
    <cellStyle name="Akcent 5 4" xfId="1655" xr:uid="{C6B9FC60-C0E9-4C21-9536-E95C07B5043A}"/>
    <cellStyle name="Akcent 5 5" xfId="1656" xr:uid="{1F4707BA-3DCB-4629-83EB-6B4F940E1C2E}"/>
    <cellStyle name="Akcent 5_Arkusz1" xfId="3507" xr:uid="{05BB782F-5B5E-417A-A9E8-E456B99F5B0D}"/>
    <cellStyle name="Akcent 6" xfId="3508" xr:uid="{2E15D587-2FA1-4A69-BA20-C0055510DDB1}"/>
    <cellStyle name="Akcent 6 2" xfId="1657" xr:uid="{2D3BDE4B-1122-45CC-AE9F-B7BC3E038041}"/>
    <cellStyle name="Akcent 6 2 2" xfId="1658" xr:uid="{8902F713-7E63-4C0E-9FE7-C7CC4341C89D}"/>
    <cellStyle name="Akcent 6 2 3" xfId="1659" xr:uid="{44AEB1C7-7751-4840-B1E9-79C7BBD6C886}"/>
    <cellStyle name="Akcent 6 2 4" xfId="1660" xr:uid="{C71683AB-DE65-44AF-8338-D03225CE8532}"/>
    <cellStyle name="Akcent 6 3" xfId="1661" xr:uid="{67EDDE7C-9DC9-46BD-BB92-21989BD5D8D7}"/>
    <cellStyle name="Akcent 6 4" xfId="1662" xr:uid="{BF41A596-5D37-4246-9536-5959F2A61989}"/>
    <cellStyle name="Akcent 6 5" xfId="1663" xr:uid="{3D8D8228-B3C7-4FF3-96BC-EAB1CE681842}"/>
    <cellStyle name="Akcent 6_Arkusz1" xfId="3509" xr:uid="{805530C1-46C2-4D7B-81E3-E6A85E26EA95}"/>
    <cellStyle name="Akzent1" xfId="1664" xr:uid="{161528A6-DC85-4F51-96DC-3270607C76D7}"/>
    <cellStyle name="Akzent2" xfId="1665" xr:uid="{AA58AA61-466A-4AE1-B4ED-C78136ECECD5}"/>
    <cellStyle name="Akzent3" xfId="1666" xr:uid="{82808084-6520-42EC-B42A-5BB3B05B2608}"/>
    <cellStyle name="Akzent4" xfId="1667" xr:uid="{E6190393-E29A-4FEA-9DDE-42DFCFB4DE26}"/>
    <cellStyle name="Akzent5" xfId="1668" xr:uid="{7A3A0596-B234-4F5D-AB43-AEC3CC15DD12}"/>
    <cellStyle name="Akzent6" xfId="1669" xr:uid="{AE7EDC91-394A-4AE5-9D1C-CDB50EB5270F}"/>
    <cellStyle name="Ausgabe" xfId="1670" xr:uid="{110D5778-49F5-4129-B8BE-093245A80DD8}"/>
    <cellStyle name="Ausgabe 2" xfId="1671" xr:uid="{F5222D9B-EA77-4CFF-8BD1-EDC3C3A9368D}"/>
    <cellStyle name="Bad" xfId="1672" xr:uid="{C9200967-9928-465A-82AC-40A8332DB817}"/>
    <cellStyle name="Bad 1" xfId="1673" xr:uid="{B5DA17AD-E08B-474E-BC84-3C038F445163}"/>
    <cellStyle name="Bad 10" xfId="1674" xr:uid="{0A707E09-9239-4BDB-A371-8CE46E5668A0}"/>
    <cellStyle name="Bad 2" xfId="1675" xr:uid="{3C1646F1-5880-4BB0-8124-FD7BB951BE17}"/>
    <cellStyle name="Bad_50_ceny" xfId="1676" xr:uid="{D87D8717-0F9A-4922-9E03-8BB7FBF97589}"/>
    <cellStyle name="Berechnung" xfId="1677" xr:uid="{BEACB3D7-CB21-499C-8090-04D9238F9E65}"/>
    <cellStyle name="Berechnung 2" xfId="1678" xr:uid="{FBF972D2-6072-4134-A964-458BF79C18CE}"/>
    <cellStyle name="Berekening" xfId="3510" xr:uid="{241752D7-DAA8-4B5D-A26A-B0D578FEBFBF}"/>
    <cellStyle name="Calculation" xfId="1679" xr:uid="{8AEF4C92-FFC0-4F80-9BF9-81245C438D57}"/>
    <cellStyle name="Calculation 2" xfId="1680" xr:uid="{FA717918-D1D7-4C53-A861-47B580FD3FFB}"/>
    <cellStyle name="Calculation_Additional price" xfId="1681" xr:uid="{3596C4E0-4F24-48C2-83A9-3107F4D017D6}"/>
    <cellStyle name="Check Cell" xfId="1682" xr:uid="{1D648748-C736-48BF-9526-7D9367BC8190}"/>
    <cellStyle name="Check Cell 2" xfId="1683" xr:uid="{3E539CD3-5EB4-404D-A23E-46BA09EB3E61}"/>
    <cellStyle name="Check Cell_Additional price" xfId="1684" xr:uid="{63324630-F449-4809-A7D2-DCE9EBD67658}"/>
    <cellStyle name="Controlecel" xfId="3511" xr:uid="{B7FCC30A-EA92-443D-B638-CF1C6BD97BC6}"/>
    <cellStyle name="Dane wej?ciowe" xfId="1685" xr:uid="{796C1409-5C26-4860-BA22-35CFA0B8AFD2}"/>
    <cellStyle name="Dane wej?ciowe 2" xfId="1686" xr:uid="{997BB1F9-AE69-475D-9214-D3F07E2DA78F}"/>
    <cellStyle name="Dane wejściowe" xfId="3512" xr:uid="{7098D685-F82F-410E-B2BC-13AAE7CE0972}"/>
    <cellStyle name="Dane wejściowe 2" xfId="1687" xr:uid="{97CEAF31-2FAD-458E-8144-9EB081E2DA38}"/>
    <cellStyle name="Dane wejściowe 2 2" xfId="1688" xr:uid="{12492101-6337-4D14-A207-A131E909650F}"/>
    <cellStyle name="Dane wejściowe 2 3" xfId="1689" xr:uid="{0C55BCD1-3056-4BD2-87F4-6977C13C4193}"/>
    <cellStyle name="Dane wejściowe 2 4" xfId="1690" xr:uid="{7E76189E-5E86-40FA-8425-2A8321124673}"/>
    <cellStyle name="Dane wejściowe 3" xfId="1691" xr:uid="{B456E21B-7E6F-49D6-B02F-FDF2F180ABEA}"/>
    <cellStyle name="Dane wejściowe 4" xfId="1692" xr:uid="{29BE618B-0D11-42A3-9B37-0233674CBB26}"/>
    <cellStyle name="Dane wejściowe 5" xfId="1693" xr:uid="{E7936E65-8759-48F7-86D4-3DD3D390A899}"/>
    <cellStyle name="Dane wejściowe 6" xfId="1694" xr:uid="{73BFFFDC-8205-475F-B6EC-C88EE357D8A1}"/>
    <cellStyle name="Dane wejściowe_Arkusz1" xfId="3513" xr:uid="{DF2D55B4-A29F-4649-B168-4297C9A75E98}"/>
    <cellStyle name="Dane wyj?ciowe" xfId="1695" xr:uid="{A5664D3F-0A90-4DC3-8F66-A12852E082CD}"/>
    <cellStyle name="Dane wyj?ciowe 2" xfId="1696" xr:uid="{00700490-83B8-4645-AFD6-AF53DD6D3D27}"/>
    <cellStyle name="Dane wyjściowe" xfId="3514" xr:uid="{5A482FDB-7AA5-4432-BB80-F58BCCD4E332}"/>
    <cellStyle name="Dane wyjściowe 2" xfId="1697" xr:uid="{1F951781-6FDE-43F6-9730-76023C339ECC}"/>
    <cellStyle name="Dane wyjściowe 2 2" xfId="1698" xr:uid="{1CEBDDA8-4F40-4DE9-BB55-F4585104EC40}"/>
    <cellStyle name="Dane wyjściowe 2 3" xfId="1699" xr:uid="{EEDE1AE7-A516-48DD-868C-9732480760B1}"/>
    <cellStyle name="Dane wyjściowe 2 4" xfId="1700" xr:uid="{E2655737-8EAC-4E70-A8D3-14C9E9BFA742}"/>
    <cellStyle name="Dane wyjściowe 3" xfId="1701" xr:uid="{58EDBA65-9BF5-48DD-9197-5614AC54A384}"/>
    <cellStyle name="Dane wyjściowe 4" xfId="1702" xr:uid="{FFF568B5-504B-44AB-BD40-645199CBD1D3}"/>
    <cellStyle name="Dane wyjściowe 5" xfId="1703" xr:uid="{9432BF00-3491-4E6C-A03E-6962FD567F7B}"/>
    <cellStyle name="Dane wyjściowe_Arkusz1" xfId="3515" xr:uid="{FBAFE4B2-A797-4623-A72A-123A22763118}"/>
    <cellStyle name="Dobre" xfId="1704" xr:uid="{44F1A500-C97E-40FF-A0EA-C78BF0243E8F}"/>
    <cellStyle name="Dobre 2" xfId="1705" xr:uid="{61CFF6B9-F5C3-4333-A0D8-EF7C64AFC327}"/>
    <cellStyle name="Dobre 3" xfId="1706" xr:uid="{63B2E812-68FF-41C9-91CC-ABE04A70AC24}"/>
    <cellStyle name="Dobre 4" xfId="1707" xr:uid="{1E39D39D-01D5-4B6C-9DD9-A7F9830D7796}"/>
    <cellStyle name="Dobre 5" xfId="1708" xr:uid="{392EA8DC-C613-434B-8004-896C4661DD9D}"/>
    <cellStyle name="Dobre_03ceny39" xfId="2468" xr:uid="{19B3C497-BD7A-447C-BFFD-B6212D3387F8}"/>
    <cellStyle name="Dobry" xfId="1709" xr:uid="{B3A2DBB7-1F29-4169-9650-0E2B7639F08B}"/>
    <cellStyle name="Dobry 2" xfId="1710" xr:uid="{F1F9E69B-B005-4711-B528-FCF6DA1C590A}"/>
    <cellStyle name="Dobry 3" xfId="1711" xr:uid="{A2C83B4A-0F8A-4F32-BDAE-EEC4016D32CF}"/>
    <cellStyle name="Dobry 4" xfId="1712" xr:uid="{BC8C13E8-92B3-4C79-BD1D-D1E2D09E747A}"/>
    <cellStyle name="Dobry_IMPORT" xfId="3329" xr:uid="{0AEFC338-932F-4CF9-91E7-58850CFE45CE}"/>
    <cellStyle name="Dziesiętny 2" xfId="1713" xr:uid="{FC7EFF7D-5FC4-4C21-BF16-AF22B05A7281}"/>
    <cellStyle name="Dziesiętny 2 2" xfId="1714" xr:uid="{590F3ABC-0B38-41BF-A183-231DF613D8D4}"/>
    <cellStyle name="Dziesiętny 2 2 2" xfId="1715" xr:uid="{F3332A3C-D387-48BC-975C-717216658F4E}"/>
    <cellStyle name="Dziesiętny 2 2 2 2" xfId="1716" xr:uid="{285AE8F8-C1F6-4ADB-8D7E-C6237F53A511}"/>
    <cellStyle name="Dziesiętny 2 2 2 2 2" xfId="1717" xr:uid="{0B455B38-18DA-4956-8984-743492B17D00}"/>
    <cellStyle name="Dziesiętny 2 2 2 2 2 2" xfId="2562" xr:uid="{B2C82317-6412-4780-B093-56CA78ED608F}"/>
    <cellStyle name="Dziesiętny 2 2 2 2 3" xfId="2489" xr:uid="{CBA503B3-C5C9-4D2F-AD6E-8364C589594B}"/>
    <cellStyle name="Dziesiętny 2 2 2 3" xfId="2408" xr:uid="{41D406A7-D3C2-4E7B-809B-ADEE2105C8BE}"/>
    <cellStyle name="Dziesiętny 2 2 3" xfId="1718" xr:uid="{B14D8B0F-7B96-42B7-9A21-8AA4587C24A9}"/>
    <cellStyle name="Dziesiętny 2 2 3 2" xfId="1719" xr:uid="{A5496D18-B9B7-47BC-9D48-2B4200B90815}"/>
    <cellStyle name="Dziesiętny 2 2 3 2 2" xfId="2550" xr:uid="{C4640F4A-B83F-4AF2-B8BB-B42B9CA74BC8}"/>
    <cellStyle name="Dziesiętny 2 2 3 3" xfId="2469" xr:uid="{6AC241E5-F091-42CF-B5AD-9A4D3D4E51AD}"/>
    <cellStyle name="Dziesiętny 2 2 4" xfId="1720" xr:uid="{399652CC-6828-44E5-9491-4F515E5E11D4}"/>
    <cellStyle name="Dziesiętny 2 2 4 2" xfId="2451" xr:uid="{EB704173-F7C1-4D1D-8CFB-E9167EED4997}"/>
    <cellStyle name="Dziesiętny 2 2 5" xfId="2317" xr:uid="{087209CB-DDF6-4E16-B89A-305A6D5279ED}"/>
    <cellStyle name="Dziesiętny 2 2_IMPORT" xfId="1721" xr:uid="{8FF0397B-E8EE-426F-B16E-2867EA7CEFD3}"/>
    <cellStyle name="Dziesiętny 2 3" xfId="1722" xr:uid="{D1096EBD-F316-4996-8B1C-3051272D66BE}"/>
    <cellStyle name="Dziesiętny 2 3 2" xfId="1723" xr:uid="{858F810C-6090-4D2C-B18D-8F9A269877F4}"/>
    <cellStyle name="Dziesiętny 2 3 2 2" xfId="1724" xr:uid="{4141E132-641B-48F0-9624-6802BDA0D847}"/>
    <cellStyle name="Dziesiętny 2 3 2 2 2" xfId="2553" xr:uid="{A0873108-D780-41D5-BD4C-4673F6189367}"/>
    <cellStyle name="Dziesiętny 2 3 2 3" xfId="2474" xr:uid="{966501B2-3CB6-4C94-A8D0-6C8672478373}"/>
    <cellStyle name="Dziesiętny 2 3 3" xfId="2378" xr:uid="{4CE0D83C-AE9F-4D84-8F1C-ED8BE6068A5A}"/>
    <cellStyle name="Dziesiętny 2 4" xfId="1725" xr:uid="{621BAE70-6D27-43DE-B8AA-27467A3AC6F0}"/>
    <cellStyle name="Dziesiętny 2 4 2" xfId="1726" xr:uid="{C7101215-BE9F-4076-9496-79C791A3326A}"/>
    <cellStyle name="Dziesiętny 2 4 2 2" xfId="2549" xr:uid="{30A02907-DB06-4A3D-975E-42FB2C0B434D}"/>
    <cellStyle name="Dziesiętny 2 4 3" xfId="1727" xr:uid="{B5AB980C-E6F5-45B2-ABAB-C5876C7545E0}"/>
    <cellStyle name="Dziesiętny 2 4 4" xfId="2458" xr:uid="{448C1B3D-74BA-49A7-946B-678A646688C5}"/>
    <cellStyle name="Dziesiętny 2 5" xfId="1728" xr:uid="{DCF9EF11-BF4B-491F-95C5-0C4442C67133}"/>
    <cellStyle name="Dziesiętny 2 5 2" xfId="2450" xr:uid="{6ED11224-BA8A-4D3D-A369-0A60080FF11A}"/>
    <cellStyle name="Dziesiętny 2 6" xfId="1729" xr:uid="{57408D69-D73E-47E2-BC68-67E69A9FFA26}"/>
    <cellStyle name="Dziesiętny 2 6 2" xfId="2525" xr:uid="{87B13163-F07D-48ED-B306-9062D505F0B4}"/>
    <cellStyle name="Dziesiętny 2 7" xfId="1730" xr:uid="{9B5AE142-D543-4CEC-824B-93B4AFD51428}"/>
    <cellStyle name="Dziesiętny 2 7 2" xfId="2503" xr:uid="{CC7C80DC-BD94-4F74-AD92-EF3A36C96A1F}"/>
    <cellStyle name="Dziesiętny 2 8" xfId="1731" xr:uid="{A2E1D379-81CC-4BAE-9317-6A93E7006D5B}"/>
    <cellStyle name="Dziesiętny 2 9" xfId="2316" xr:uid="{2C70CE88-F33D-41B7-B679-54A029C9D128}"/>
    <cellStyle name="Dziesiętny 2_DOPLATA" xfId="1732" xr:uid="{47F31F1F-3923-4B05-A609-53264D897EB2}"/>
    <cellStyle name="Eingabe" xfId="1733" xr:uid="{FFAFC205-852F-4EB2-8E94-1F418927CEF2}"/>
    <cellStyle name="Eingabe 2" xfId="1734" xr:uid="{27C8C2D8-9821-4D30-8BD5-C00E6D9B0049}"/>
    <cellStyle name="Emphasis 1" xfId="1735" xr:uid="{0B640296-E377-46A1-82A5-931457A946C4}"/>
    <cellStyle name="Emphasis 1 2" xfId="1736" xr:uid="{105EC702-50A4-4B9F-AC81-EDE79145EE38}"/>
    <cellStyle name="Emphasis 1_Additional price" xfId="1737" xr:uid="{88055655-8DB5-4F1B-B912-36D7408A7838}"/>
    <cellStyle name="Emphasis 2" xfId="1738" xr:uid="{4BD873EC-812B-4E06-9C7F-E3EE1C4C7E07}"/>
    <cellStyle name="Emphasis 2 2" xfId="1739" xr:uid="{BB3C9002-2F3F-4A1C-A614-AC927954C2D6}"/>
    <cellStyle name="Emphasis 2_Additional price" xfId="1740" xr:uid="{E9395544-7306-4CBA-80ED-ED50DCC93E79}"/>
    <cellStyle name="Emphasis 3" xfId="1741" xr:uid="{87FA8C7B-7BF8-453A-A970-9BE854F519B7}"/>
    <cellStyle name="Emphasis 3 2" xfId="1742" xr:uid="{6BE997C1-0DD0-42B5-B342-5F3CE34EAECD}"/>
    <cellStyle name="Emphasis 3_Additional price" xfId="1743" xr:uid="{0EA53AE2-FCE7-478A-BA34-488764331821}"/>
    <cellStyle name="Ergebnis" xfId="1744" xr:uid="{5316942C-7B0E-4DD7-AA9E-7493446A086B}"/>
    <cellStyle name="Ergebnis 2" xfId="1745" xr:uid="{4B97B9DD-0A2C-41F0-9552-D19544E8FFD5}"/>
    <cellStyle name="Ergebnis 3" xfId="2318" xr:uid="{708775EE-BD2D-46A5-B310-5AC0D2BC1F05}"/>
    <cellStyle name="Ergebnis_IMPORT" xfId="1746" xr:uid="{620176CD-2E7F-4C3F-9C51-1B7A403BF5F3}"/>
    <cellStyle name="Erklärender Text" xfId="1747" xr:uid="{ADF6AC9D-D401-413A-AECC-829CBA1D438E}"/>
    <cellStyle name="Error" xfId="1748" xr:uid="{53FF1382-5AD2-4A4F-B030-4F6D378AEBCF}"/>
    <cellStyle name="Error 12" xfId="1749" xr:uid="{DCE17345-D75D-4A5E-A5D8-C430BC011F43}"/>
    <cellStyle name="Error_PROD" xfId="3516" xr:uid="{6BA03324-80AD-4980-8231-C3A650E4A166}"/>
    <cellStyle name="Euro" xfId="1750" xr:uid="{C679B7B3-6B3D-436A-98A8-18B4A2BFDB64}"/>
    <cellStyle name="Euro 2" xfId="1751" xr:uid="{67794D46-E7E6-4DFC-9590-4C26CB1247C7}"/>
    <cellStyle name="Excel Built-in Excel Built-in Excel Built-in Excel Built-in Normalny 4" xfId="1752" xr:uid="{1ADF7A4A-D011-49B2-A5AA-0C35A09528B4}"/>
    <cellStyle name="Excel Built-in Excel Built-in Excel Built-in Excel Built-in Normalny 4 2" xfId="2319" xr:uid="{FA74BC38-B271-4727-B25F-D2D7EEB43AEB}"/>
    <cellStyle name="Excel Built-in Excel Built-in Excel Built-in Excel Built-in Normalny 4_IMPORT" xfId="3517" xr:uid="{F7DA61B7-E738-456F-99F9-2D5DB27FAC66}"/>
    <cellStyle name="Excel Built-in Normal" xfId="1753" xr:uid="{850EC9BD-4340-4E7B-8A0D-AE104263CA18}"/>
    <cellStyle name="Excel Built-in Normal 1" xfId="1754" xr:uid="{49A22524-4BC5-4139-8BEF-657945C95C2E}"/>
    <cellStyle name="Excel Built-in Normal 2" xfId="1755" xr:uid="{5F6F2E5B-E6FE-41F7-8466-0218E0AB46B2}"/>
    <cellStyle name="Excel Built-in Normal 3" xfId="1756" xr:uid="{73EC7C42-CFA3-41B9-9C7F-47D05D3C8588}"/>
    <cellStyle name="Excel Built-in Normal 4" xfId="1757" xr:uid="{94B2F822-A24D-4FF7-9E95-B5B32D7385BA}"/>
    <cellStyle name="Excel Built-in Normal 5" xfId="2320" xr:uid="{9F86AC61-D87C-4143-A5D1-1F9CF5933992}"/>
    <cellStyle name="Excel Built-in Normal_Arkusz1" xfId="1758" xr:uid="{47685E40-99CC-444F-88D1-4CC58BC5D292}"/>
    <cellStyle name="Explanatory Text" xfId="1759" xr:uid="{D719ACDE-A98A-432A-BCB8-607E0DE73F0B}"/>
    <cellStyle name="Explanatory Text 2" xfId="1760" xr:uid="{DD29AEF7-65F9-495B-B374-06A383AA40A6}"/>
    <cellStyle name="Footnote" xfId="1761" xr:uid="{5758C1E9-900C-4D68-98FA-472F353E6823}"/>
    <cellStyle name="Footnote 5" xfId="1762" xr:uid="{CF41AF17-1415-4154-A240-BE1ACDDD4192}"/>
    <cellStyle name="Footnote_PROD" xfId="3518" xr:uid="{46DEA4C6-15EC-452D-8CD3-7EFD60D43C2C}"/>
    <cellStyle name="Gekoppelde cel" xfId="3519" xr:uid="{F3ECB39F-3037-4A4E-A3B1-B91894DFAAC2}"/>
    <cellStyle name="Good" xfId="1763" xr:uid="{598A015C-D850-400D-A0CD-10BD36E680D8}"/>
    <cellStyle name="Good 1" xfId="1764" xr:uid="{99AEA8AB-B384-4F09-AE48-7381CC1F5810}"/>
    <cellStyle name="Good 2" xfId="1765" xr:uid="{78413BA6-31C2-4A15-8ADA-7B478AFB4C90}"/>
    <cellStyle name="Good 8" xfId="1766" xr:uid="{DA476E19-DB06-435A-909C-C41A171EDC84}"/>
    <cellStyle name="Good_50_ceny" xfId="1767" xr:uid="{2FA451B0-347B-4700-BCA1-6658744C83AE}"/>
    <cellStyle name="Gut" xfId="1768" xr:uid="{067703F4-D0A1-4C1C-B165-FC8E0C037383}"/>
    <cellStyle name="Heading" xfId="1769" xr:uid="{98D97AEC-46AC-4855-8B54-2D2F00D1793E}"/>
    <cellStyle name="Heading 1" xfId="1770" xr:uid="{A76A2229-C18B-4EB8-BD4F-7DF0426190EA}"/>
    <cellStyle name="Heading 1 1" xfId="1771" xr:uid="{26D5BE3C-FEDA-4EBF-B347-CFDE7233C71B}"/>
    <cellStyle name="Heading 1 2" xfId="1772" xr:uid="{BB6C0F6D-FE98-431E-BEA8-0EBCCB50C349}"/>
    <cellStyle name="Heading 1_50_ceny" xfId="1773" xr:uid="{2896D0E9-A9EF-4B00-BC23-12EE431F733C}"/>
    <cellStyle name="Heading 2" xfId="1774" xr:uid="{F29EE086-C1FF-4407-86A9-AEB291397BE8}"/>
    <cellStyle name="Heading 2 1" xfId="1775" xr:uid="{17BB0F55-EEE4-4988-B582-68D7C27E11DE}"/>
    <cellStyle name="Heading 2 2" xfId="1776" xr:uid="{DF65C27B-1E2C-476C-BB98-556C86DAD039}"/>
    <cellStyle name="Heading 2_50_ceny" xfId="1777" xr:uid="{F6CA72DC-963B-4C4D-9551-3D27F84994AA}"/>
    <cellStyle name="Heading 3" xfId="1778" xr:uid="{A1C32370-B730-46DA-A5E8-AE0CA14285DB}"/>
    <cellStyle name="Heading 3 2" xfId="1779" xr:uid="{835A9BD3-0901-45B5-A669-FA4FFBC249F1}"/>
    <cellStyle name="Heading 3_Additional price" xfId="1780" xr:uid="{DBD4499E-43CF-41B0-80F8-C6102B33B81B}"/>
    <cellStyle name="Heading 4" xfId="1781" xr:uid="{07FDD842-5213-4616-9843-6CEAFFB8FFF1}"/>
    <cellStyle name="Heading 4 2" xfId="1782" xr:uid="{9B0B7BE6-1867-485E-81F0-237043559FF9}"/>
    <cellStyle name="Heading 4_Additional price" xfId="1783" xr:uid="{3CD33DF3-B8E6-4196-9A95-683D5831BC67}"/>
    <cellStyle name="Heading_d" xfId="3520" xr:uid="{80014346-53B0-4584-9E80-A6415FC1B721}"/>
    <cellStyle name="Heading1" xfId="1784" xr:uid="{B586993F-6C46-4BF2-97BE-544BDADB279F}"/>
    <cellStyle name="Hiperłącze" xfId="1785" builtinId="8"/>
    <cellStyle name="Hyperlink 6" xfId="1786" xr:uid="{2CB4FED7-0596-4F21-A0DC-30B9A7027FFD}"/>
    <cellStyle name="Input" xfId="1787" xr:uid="{C3FEC0FA-D40A-487F-BC3E-D895606DD2EE}"/>
    <cellStyle name="Input 2" xfId="1788" xr:uid="{EC6BAEF7-43FC-4527-A86A-180FEA30444F}"/>
    <cellStyle name="Input 2 2" xfId="1789" xr:uid="{772D9706-0302-4338-99D4-78BA26A139B1}"/>
    <cellStyle name="Input 2_IMPORT" xfId="1790" xr:uid="{EB057D00-47DB-4374-97BE-D2D82A53F7C6}"/>
    <cellStyle name="Input 3" xfId="1791" xr:uid="{3325A49F-1476-4615-961E-797A3C647492}"/>
    <cellStyle name="Input 3 2" xfId="1792" xr:uid="{1234705F-B3B8-4435-8E6F-7089CE39B150}"/>
    <cellStyle name="Input 4" xfId="1793" xr:uid="{94B02440-7D7F-4DB4-AB8C-63A5001D5397}"/>
    <cellStyle name="Input_50_ceny" xfId="1794" xr:uid="{129E7D46-504D-4877-B8CC-042CC52264F8}"/>
    <cellStyle name="Invoer" xfId="1795" xr:uid="{85AC5C11-2E5B-417D-B7A8-3ED2B146A928}"/>
    <cellStyle name="Invoer 2" xfId="1796" xr:uid="{1CA81F15-ECB4-4C41-A717-F5ADF2993453}"/>
    <cellStyle name="Komórka po??czona" xfId="1797" xr:uid="{D5ABC8C4-2290-4F0C-84ED-F498B4B1C2FA}"/>
    <cellStyle name="Komórka połączona" xfId="3521" xr:uid="{3A49CD90-4C38-47F7-9935-3378E2E5DED5}"/>
    <cellStyle name="Komórka połączona 2" xfId="1798" xr:uid="{A1C61AF9-4388-4CE1-95D6-25EA5A4C16B9}"/>
    <cellStyle name="Komórka połączona 2 2" xfId="1799" xr:uid="{924E631E-B1C3-4AE3-8B14-891728EE216C}"/>
    <cellStyle name="Komórka połączona 2 3" xfId="1800" xr:uid="{93A2BF3C-C749-4E81-B1C1-081DDC45C73D}"/>
    <cellStyle name="Komórka połączona 2 4" xfId="1801" xr:uid="{D45EEA61-A8C6-4AE1-83AC-0367A76A7935}"/>
    <cellStyle name="Komórka połączona 3" xfId="1802" xr:uid="{36FEA871-CBA7-458C-9C13-41BCEE55F0C1}"/>
    <cellStyle name="Komórka połączona 4" xfId="1803" xr:uid="{3E207211-B29C-4F42-A9A1-F7360849ED7E}"/>
    <cellStyle name="Komórka połączona 5" xfId="1804" xr:uid="{64D20FC0-3506-4C1A-A56E-1CC451AE32EE}"/>
    <cellStyle name="Komórka połączona_Arkusz1" xfId="3522" xr:uid="{6B36A631-758D-4F74-ADA6-F5CE8A89F97A}"/>
    <cellStyle name="Komórka zaznaczona" xfId="3523" xr:uid="{CA65AD84-C42C-418A-A89C-EF5E6A6B1068}"/>
    <cellStyle name="Komórka zaznaczona 2" xfId="1805" xr:uid="{916663D5-3933-428D-BCAE-CD7A4E2F91AA}"/>
    <cellStyle name="Komórka zaznaczona 2 2" xfId="1806" xr:uid="{E4077701-FD11-496B-8DEC-5511375EA346}"/>
    <cellStyle name="Komórka zaznaczona 2 3" xfId="1807" xr:uid="{23EF3081-F34F-48D9-8B9D-A5508B49B1A0}"/>
    <cellStyle name="Komórka zaznaczona 2 4" xfId="1808" xr:uid="{965D603C-8723-4867-B6B8-4B95A277E945}"/>
    <cellStyle name="Komórka zaznaczona 3" xfId="1809" xr:uid="{AB251D6F-3D67-464F-A8C4-369336B87BDE}"/>
    <cellStyle name="Komórka zaznaczona 4" xfId="1810" xr:uid="{F7ADD9F5-4B1B-4604-B4AD-9B03D8C70E42}"/>
    <cellStyle name="Komórka zaznaczona 5" xfId="1811" xr:uid="{362645AC-2166-4676-9CEE-FC781D6DF311}"/>
    <cellStyle name="Komórka zaznaczona_Arkusz1" xfId="3524" xr:uid="{83B908CC-57D3-4CCA-A68B-F7CC1D260240}"/>
    <cellStyle name="Kop 1" xfId="3525" xr:uid="{5C86E37B-0B05-4832-8E73-B69177FCF0F4}"/>
    <cellStyle name="Kop 2" xfId="3526" xr:uid="{28AB9B28-DC0D-48DA-94CF-B81DCB006649}"/>
    <cellStyle name="Kop 3" xfId="3527" xr:uid="{94F9645C-7F1C-496F-96E6-51C256A7061D}"/>
    <cellStyle name="Kop 4" xfId="3528" xr:uid="{A8EF1907-6559-455B-B440-405B7B6A4116}"/>
    <cellStyle name="Linked Cell" xfId="1812" xr:uid="{14098087-B811-4A21-84E4-17A6A6562D9B}"/>
    <cellStyle name="Linked Cell 2" xfId="1813" xr:uid="{BD3F42BB-39B0-4C9C-AD26-59FFB5DE8C67}"/>
    <cellStyle name="Linked Cell_Additional price" xfId="1814" xr:uid="{7636BE86-F30E-4E47-94DF-8AF7ACC2C276}"/>
    <cellStyle name="Nag?ówek 1" xfId="1815" xr:uid="{0FD593F9-3A45-4231-B530-C1EA3512E319}"/>
    <cellStyle name="Nag?ówek 2" xfId="1816" xr:uid="{D6E3FA1E-4F20-4CA8-89CD-0B07BEC2B19D}"/>
    <cellStyle name="Nag?ówek 3" xfId="1817" xr:uid="{8712DD3A-8C3B-4A67-82AE-6E9C87FD4996}"/>
    <cellStyle name="Nag?ówek 3 2" xfId="1818" xr:uid="{DB719A05-6C78-401D-AD34-00CA66ECB86F}"/>
    <cellStyle name="Nag?ówek 4" xfId="1819" xr:uid="{34FE9DD3-9AAD-4693-BE56-7B09390BD06B}"/>
    <cellStyle name="Nagłówek 1" xfId="3529" xr:uid="{EADA0892-2264-411A-A7E3-558EEF06BF7B}"/>
    <cellStyle name="Nagłówek 1 1" xfId="1820" xr:uid="{BDAE8356-72C1-4162-900B-1DC5A457687C}"/>
    <cellStyle name="Nagłówek 1 2" xfId="1821" xr:uid="{C2FFD7B6-2067-43B2-9415-EA71AEB8C842}"/>
    <cellStyle name="Nagłówek 1 2 2" xfId="1822" xr:uid="{816259FE-A550-4E84-AD4D-012E5F6DA306}"/>
    <cellStyle name="Nagłówek 1 2 3" xfId="1823" xr:uid="{30072750-7C28-4216-BD04-8FE4898A21B8}"/>
    <cellStyle name="Nagłówek 1 2 4" xfId="1824" xr:uid="{E2016E33-E25B-4A41-B25E-107E5B5313C3}"/>
    <cellStyle name="Nagłówek 1 3" xfId="1825" xr:uid="{D0E166C1-7E31-4930-956E-8572CF7EBA2B}"/>
    <cellStyle name="Nagłówek 1 4" xfId="1826" xr:uid="{38C42386-9634-42B1-B858-909CF3861E04}"/>
    <cellStyle name="Nagłówek 1 4 2" xfId="1827" xr:uid="{501431A7-6DF4-4C73-A6B8-6E1ACF12CE17}"/>
    <cellStyle name="Nagłówek 1 5" xfId="1828" xr:uid="{C3D8D0B8-B54C-4BF0-AB8C-797C29A0EE79}"/>
    <cellStyle name="Nagłówek 1_Arkusz1" xfId="3530" xr:uid="{6A1F503C-A8E8-4518-82DB-CD0DDA50DABD}"/>
    <cellStyle name="Nagłówek 2" xfId="3531" xr:uid="{2FD78AAD-6878-4B04-B5A3-1F693C3A8DB9}"/>
    <cellStyle name="Nagłówek 2 1" xfId="1829" xr:uid="{CD6A6FDC-6837-402C-A100-AEA5AE60ABC3}"/>
    <cellStyle name="Nagłówek 2 2" xfId="1830" xr:uid="{0757AC9C-2C28-4E7E-80A9-C4D2652AEF96}"/>
    <cellStyle name="Nagłówek 2 2 2" xfId="1831" xr:uid="{FD7BEF29-F1F3-4211-A204-2D6B79D6F5F1}"/>
    <cellStyle name="Nagłówek 2 2 3" xfId="1832" xr:uid="{D511F12F-D915-4E90-99BE-FA6D9771D614}"/>
    <cellStyle name="Nagłówek 2 2 4" xfId="1833" xr:uid="{6961FF38-ED68-4FF5-9A24-A4B4BBEDF8E2}"/>
    <cellStyle name="Nagłówek 2 3" xfId="1834" xr:uid="{5791C7C8-5DC8-43E9-99C1-A6A7BBCB68B4}"/>
    <cellStyle name="Nagłówek 2 4" xfId="1835" xr:uid="{B29164DB-59A5-4872-98C9-0CEB00A53BDF}"/>
    <cellStyle name="Nagłówek 2 4 2" xfId="1836" xr:uid="{5C76E450-8426-4BD1-9AFB-2B30731BB546}"/>
    <cellStyle name="Nagłówek 2 5" xfId="1837" xr:uid="{ECEBC036-6E82-4449-8D4A-DE82D4E2296D}"/>
    <cellStyle name="Nagłówek 2_Arkusz1" xfId="3532" xr:uid="{A55DA18A-1AF9-4938-8E65-EF05423C04C2}"/>
    <cellStyle name="Nagłówek 3" xfId="3533" xr:uid="{6630933F-8101-4D4A-8AF3-BDE22469D137}"/>
    <cellStyle name="Nagłówek 3 2" xfId="1838" xr:uid="{D1741164-F94C-4DFF-8D42-490961DE59E9}"/>
    <cellStyle name="Nagłówek 3 2 2" xfId="1839" xr:uid="{FF0FBACF-64CC-41EE-A115-3AFD197C59EF}"/>
    <cellStyle name="Nagłówek 3 2 3" xfId="1840" xr:uid="{9A5A19BA-17DA-45DE-9E23-CB31B57FAB20}"/>
    <cellStyle name="Nagłówek 3 2 4" xfId="1841" xr:uid="{B29C1C2B-F6B3-4626-A829-4D23E2EFB7BF}"/>
    <cellStyle name="Nagłówek 3 3" xfId="1842" xr:uid="{2E72CEDC-EDF2-4943-A2AF-A5FE3DF53B84}"/>
    <cellStyle name="Nagłówek 3 4" xfId="1843" xr:uid="{1DF488AD-4CF3-4212-99BE-EB8DA3DD8BDB}"/>
    <cellStyle name="Nagłówek 3 4 2" xfId="1844" xr:uid="{38FF28D6-19D0-4912-843D-2F3E7CCC490B}"/>
    <cellStyle name="Nagłówek 3 5" xfId="1845" xr:uid="{806C213D-AF71-40E1-8948-44DF07A147A2}"/>
    <cellStyle name="Nagłówek 3_Arkusz1" xfId="3534" xr:uid="{F3D3CA37-B082-4A2A-BA3A-FA73FD34A885}"/>
    <cellStyle name="Nagłówek 4" xfId="3535" xr:uid="{40000A9C-D9EA-413C-B105-E08168ACDAF0}"/>
    <cellStyle name="Nagłówek 4 2" xfId="1846" xr:uid="{AC427DCD-4DF6-41DB-BF4E-567E53F2AD11}"/>
    <cellStyle name="Nagłówek 4 2 2" xfId="1847" xr:uid="{0F6D4BCE-3F27-4B18-ABC8-E0995E5E92C1}"/>
    <cellStyle name="Nagłówek 4 2 3" xfId="1848" xr:uid="{BCEADC5F-C138-4188-9B59-8DB51CECFEF3}"/>
    <cellStyle name="Nagłówek 4 2 4" xfId="1849" xr:uid="{C367BD2B-FF2C-4A4C-87B3-C75824DD8B02}"/>
    <cellStyle name="Nagłówek 4 3" xfId="1850" xr:uid="{1030452C-86D0-48CE-A990-A596B376E427}"/>
    <cellStyle name="Nagłówek 4 4" xfId="1851" xr:uid="{387CDF71-8680-41AF-BCD3-D42CB2DD3C38}"/>
    <cellStyle name="Nagłówek 4 4 2" xfId="1852" xr:uid="{AB7E1F6A-C5EA-4C01-B9CE-238E64FB8DF6}"/>
    <cellStyle name="Nagłówek 4 5" xfId="1853" xr:uid="{5339BD37-C5E1-4901-B3DF-4D4487629E6A}"/>
    <cellStyle name="Nagłówek 4_Arkusz1" xfId="3536" xr:uid="{8D2151C3-6BC5-420F-98C0-C3193D116760}"/>
    <cellStyle name="Neutral" xfId="1854" xr:uid="{66ED8143-66DD-47E7-883F-B78356222B35}"/>
    <cellStyle name="Neutral 1" xfId="1855" xr:uid="{B3D9B535-FAD9-4DE7-91B5-4F44DB33CC6C}"/>
    <cellStyle name="Neutral 1 2" xfId="1856" xr:uid="{5527CC24-C058-4CBC-BA2F-D4354593E36E}"/>
    <cellStyle name="Neutral 1 3" xfId="1857" xr:uid="{831CC365-CEE4-4C70-A866-0DBF84E6A109}"/>
    <cellStyle name="Neutral 2" xfId="1858" xr:uid="{3FDDBF5E-231C-4692-8D3C-C6858A2F5546}"/>
    <cellStyle name="Neutral 9" xfId="1859" xr:uid="{B02FD681-096D-485E-BA44-D33D96FACCFC}"/>
    <cellStyle name="Neutral_50_ceny" xfId="1860" xr:uid="{FD66633C-3B56-45F2-BFC7-38AAD7969245}"/>
    <cellStyle name="Neutralne" xfId="1861" xr:uid="{75AA3783-13C7-4EBA-9430-0B78B462FA71}"/>
    <cellStyle name="Neutralne 2" xfId="1862" xr:uid="{50A15BE5-B8AC-4BFD-8758-DF86B9BA1F24}"/>
    <cellStyle name="Neutralne 3" xfId="1863" xr:uid="{22503F9B-D26C-433C-A177-E8B0ADF53227}"/>
    <cellStyle name="Neutralne 4" xfId="1864" xr:uid="{46879711-D1FB-4425-9DF1-B0D4C2753A0C}"/>
    <cellStyle name="Neutralne 5" xfId="1865" xr:uid="{CED2D994-6F90-4E0B-8700-401BF5FEF886}"/>
    <cellStyle name="Neutralne_03ceny39" xfId="2470" xr:uid="{CACC7FB1-7A46-443B-BC5C-E3E4A797BBD4}"/>
    <cellStyle name="Neutralny" xfId="1866" xr:uid="{8789CB1D-A16A-42F4-9FA4-09F3016A6EDF}"/>
    <cellStyle name="Neutralny 2" xfId="1867" xr:uid="{63EA5B62-EFF1-4B72-80FC-F2DFB6D78318}"/>
    <cellStyle name="Neutralny 3" xfId="1868" xr:uid="{4CF86F2C-A8F7-433A-968B-B239E0F1650C}"/>
    <cellStyle name="Neutralny 4" xfId="1869" xr:uid="{F12AC650-BBC2-48D2-829F-9E4D3A510E59}"/>
    <cellStyle name="Neutralny_IMPORT" xfId="3330" xr:uid="{7CF5900D-008D-426D-A529-C4C9A4E897C6}"/>
    <cellStyle name="Normal 2" xfId="1870" xr:uid="{817D7C34-A075-4833-BDE7-15D6A303234B}"/>
    <cellStyle name="Normal 2 2" xfId="1871" xr:uid="{2ABD023A-7EF9-4687-9869-1FA252A3968A}"/>
    <cellStyle name="Normal 2 3" xfId="1872" xr:uid="{3D813F22-A030-4606-801F-F1F73557A29F}"/>
    <cellStyle name="Normal 2 4" xfId="1873" xr:uid="{7A10943B-9BB2-4550-9747-F2AADA6C4FD3}"/>
    <cellStyle name="Normal 2 4 2" xfId="2455" xr:uid="{F1469CD3-B3F9-407E-AA80-15263997B1CC}"/>
    <cellStyle name="Normal 2 5" xfId="1874" xr:uid="{CCDCDDD2-A724-4280-8667-C690D3558F09}"/>
    <cellStyle name="Normal 2 6" xfId="2245" xr:uid="{40026EB4-EF21-450D-9702-3EED1234B1F8}"/>
    <cellStyle name="Normal 2_CENA" xfId="1875" xr:uid="{7DF8C0C4-5AFB-46B7-BF08-DDBA8B349AFF}"/>
    <cellStyle name="Normal 3" xfId="1876" xr:uid="{6A8CDF9D-D9A3-4358-AA4D-0C56371196D8}"/>
    <cellStyle name="Normal 4" xfId="1877" xr:uid="{EF55A773-2C8E-49E3-97AB-69385C5E166F}"/>
    <cellStyle name="Normal 4 2" xfId="1878" xr:uid="{ED0BE881-193D-47A7-B781-1C8EDB4A6458}"/>
    <cellStyle name="Normal 5" xfId="1879" xr:uid="{F19C972A-4EB0-4B36-8FBD-665F9753F664}"/>
    <cellStyle name="Normal_IMPORT" xfId="3537" xr:uid="{5BF5D127-04A3-48EF-B50B-85ED26A583B5}"/>
    <cellStyle name="Normalny" xfId="0" builtinId="0"/>
    <cellStyle name="Normalny 10" xfId="1880" xr:uid="{5C9C0D69-9D6D-4BBE-9A48-8FEF513871EB}"/>
    <cellStyle name="Normalny 11" xfId="1881" xr:uid="{E5BB8E41-ABBA-439A-AC10-0402ED013622}"/>
    <cellStyle name="Normalny 12" xfId="1882" xr:uid="{A5274827-2DF7-463F-B642-7283574A10CC}"/>
    <cellStyle name="Normalny 12 2" xfId="2502" xr:uid="{153CEC5F-8626-48D3-9A0D-D333AEE87F1B}"/>
    <cellStyle name="Normalny 13" xfId="1883" xr:uid="{ED4D4AAE-EE91-407B-872B-3EAADE6CE3FA}"/>
    <cellStyle name="Normalny 13 2" xfId="3312" xr:uid="{4AFDB8B9-4128-4641-8392-566994D2DAB6}"/>
    <cellStyle name="Normalny 2" xfId="1884" xr:uid="{551C457F-8C64-4F41-ADF4-F5799F80F909}"/>
    <cellStyle name="Normalny 2 10" xfId="1885" xr:uid="{0BEA98D7-7CD5-487E-8517-D2DA9574ED81}"/>
    <cellStyle name="Normalny 2 10 2" xfId="1886" xr:uid="{EFD8F147-FA3C-43C7-B2E9-82A7A99D00DC}"/>
    <cellStyle name="Normalny 2 10 2 2" xfId="1887" xr:uid="{7BB1B325-5C69-43F7-A56A-10D67CCBA282}"/>
    <cellStyle name="Normalny 2 10 2 2 2" xfId="2560" xr:uid="{4DAD8245-4C36-4842-AAB5-F97ACBCF7C4A}"/>
    <cellStyle name="Normalny 2 10 2 3" xfId="2487" xr:uid="{9B6A8074-DE85-4D28-A958-5A8C41091A93}"/>
    <cellStyle name="Normalny 2 10 2_IMPORT" xfId="1888" xr:uid="{FEC5742F-943E-4D9A-95EC-1E5C53CA0F68}"/>
    <cellStyle name="Normalny 2 10 3" xfId="1889" xr:uid="{2F1EFDF9-FA5F-4A43-83A1-B2C66D22FFFC}"/>
    <cellStyle name="Normalny 2 10 3 2" xfId="2538" xr:uid="{83189E02-32A1-4DE6-84DE-BCA93C31DE7D}"/>
    <cellStyle name="Normalny 2 10 4" xfId="2406" xr:uid="{2D7F25ED-0ECF-4AEF-A301-A15497C93548}"/>
    <cellStyle name="Normalny 2 10_IMPORT" xfId="1890" xr:uid="{FE14FE92-8197-451A-8222-E58448DAC1A6}"/>
    <cellStyle name="Normalny 2 11" xfId="1891" xr:uid="{7AAC947A-C9CF-4916-953A-757239FE1F21}"/>
    <cellStyle name="Normalny 2 11 2" xfId="1892" xr:uid="{17EA02D2-30BB-43BD-B197-BF19174E2672}"/>
    <cellStyle name="Normalny 2 11 2 2" xfId="1893" xr:uid="{2C3E7B9D-B9DE-4AB4-8EA1-1F5BA69FF0BA}"/>
    <cellStyle name="Normalny 2 11 2 2 2" xfId="2551" xr:uid="{ADED851F-873F-4FAC-B09E-184FFF634FD1}"/>
    <cellStyle name="Normalny 2 11 2 3" xfId="2472" xr:uid="{CBCB8F20-F6A5-4F0F-A292-C6CD9BFB67FC}"/>
    <cellStyle name="Normalny 2 11 2_IMPORT" xfId="1894" xr:uid="{8E0B4EE0-8781-42BA-A540-49D0D391EFA3}"/>
    <cellStyle name="Normalny 2 11 3" xfId="1895" xr:uid="{A74E0E36-198A-4E0C-9ECB-A42846A9EB4F}"/>
    <cellStyle name="Normalny 2 11 3 2" xfId="2530" xr:uid="{A1F8F2D6-700E-49EE-BAE9-32FB588D9ECC}"/>
    <cellStyle name="Normalny 2 11 4" xfId="2327" xr:uid="{D9D337C7-DCF3-4BE5-AFB1-17A2F3BBA74E}"/>
    <cellStyle name="Normalny 2 11_IMPORT" xfId="1896" xr:uid="{6D903CF2-4C5D-44CB-BBC0-2CD63D89C83C}"/>
    <cellStyle name="Normalny 2 12" xfId="1897" xr:uid="{9C371F2B-AADF-4365-A1D6-DE0406905018}"/>
    <cellStyle name="Normalny 2 12 2" xfId="1898" xr:uid="{7D8B18A7-9575-4C2C-88FA-1D66D504ADFA}"/>
    <cellStyle name="Normalny 2 12 2 2" xfId="2547" xr:uid="{978C94D1-04A2-4005-A931-1B0779A07618}"/>
    <cellStyle name="Normalny 2 12 3" xfId="2453" xr:uid="{615DCBDE-4BA0-4FEF-9F8C-EFE34E768DFA}"/>
    <cellStyle name="Normalny 2 12_IMPORT" xfId="1899" xr:uid="{0DE907DB-8BA8-4801-9829-B66C5A80F5EB}"/>
    <cellStyle name="Normalny 2 13" xfId="1900" xr:uid="{0F920984-1786-4BBF-9BA6-F874C371E328}"/>
    <cellStyle name="Normalny 2 13 2" xfId="2452" xr:uid="{6C06958B-8113-49CB-8D9E-860B439312BD}"/>
    <cellStyle name="Normalny 2 14" xfId="1901" xr:uid="{8D6F5F91-CDCA-4651-86D2-125F1A465EA4}"/>
    <cellStyle name="Normalny 2 14 2" xfId="1902" xr:uid="{70D4C7A1-C29D-4943-BA37-C5268DFC38B1}"/>
    <cellStyle name="Normalny 2 14 2 2" xfId="2570" xr:uid="{22ACDA0F-9761-47B1-BBEA-1433A8F89481}"/>
    <cellStyle name="Normalny 2 14 3" xfId="2497" xr:uid="{B6B5A1D7-6BFE-4FA2-A436-34F3F0DF6C14}"/>
    <cellStyle name="Normalny 2 14_IMPORT" xfId="1903" xr:uid="{DBBAB199-989C-4F88-BE60-45439A74F78C}"/>
    <cellStyle name="Normalny 2 15" xfId="2242" xr:uid="{F5009AED-E5B0-4D99-8040-463C3E32D28B}"/>
    <cellStyle name="Normalny 2 2" xfId="1904" xr:uid="{5D32AC47-6EF3-4B96-9430-1317C1E4C5F6}"/>
    <cellStyle name="Normalny 2 2 2" xfId="1905" xr:uid="{A12CEFC9-2ECA-4DC0-BFB2-9691A027B532}"/>
    <cellStyle name="Normalny 2 2 3" xfId="1906" xr:uid="{B3ACA8EB-14C0-4FF1-A2EC-0FF230F043A6}"/>
    <cellStyle name="Normalny 2 2 4" xfId="1907" xr:uid="{75B88E9C-EA00-4818-A25D-146D04350A5C}"/>
    <cellStyle name="Normalny 2 2 5" xfId="1908" xr:uid="{86444396-AFB5-4494-B49D-55CF72BCD5DB}"/>
    <cellStyle name="Normalny 2 2_CENA" xfId="1909" xr:uid="{5AD1E672-E287-43D4-A425-4F9573816147}"/>
    <cellStyle name="Normalny 2 3" xfId="1910" xr:uid="{42BCB3CD-58A5-4126-B6CC-2183E364C026}"/>
    <cellStyle name="Normalny 2 3 2" xfId="1911" xr:uid="{F1E5BBCA-1D6B-4D90-9EE6-F14C89CEE5A1}"/>
    <cellStyle name="Normalny 2 3 3" xfId="1912" xr:uid="{2D7B2384-B731-47C5-8211-53E79A93D788}"/>
    <cellStyle name="Normalny 2 3 3 2" xfId="2505" xr:uid="{A8DC5F81-17A0-4112-800E-6B13F8DE2541}"/>
    <cellStyle name="Normalny 2 3 4" xfId="1913" xr:uid="{57CDE28E-9FED-49CD-8F1D-91DAF9F0BC37}"/>
    <cellStyle name="Normalny 2 3 5" xfId="2243" xr:uid="{65F77D9E-C93E-455B-BEE2-02F8081CE10F}"/>
    <cellStyle name="Normalny 2 4" xfId="1914" xr:uid="{0C6A93F3-E101-42B9-A703-C447B864D023}"/>
    <cellStyle name="Normalny 2 4 2" xfId="1915" xr:uid="{5846A7D1-AA56-4553-8ABC-2A45E149B85C}"/>
    <cellStyle name="Normalny 2 4 2 2" xfId="1916" xr:uid="{3AA1E5B1-F6CA-4582-A04C-A907526F5E77}"/>
    <cellStyle name="Normalny 2 4 2 2 2" xfId="1917" xr:uid="{0E2B122C-FCED-41F3-9EC2-06CD8BBFF66D}"/>
    <cellStyle name="Normalny 2 4 2 2 2 2" xfId="2565" xr:uid="{AE8C033B-4EEE-4903-980F-0B6864235821}"/>
    <cellStyle name="Normalny 2 4 2 2 3" xfId="2492" xr:uid="{6E9DAE1B-3A4C-4D30-905C-6DA29A9A2BDA}"/>
    <cellStyle name="Normalny 2 4 2 2_IMPORT" xfId="1918" xr:uid="{887AAC2B-38FC-4FD9-827B-E74D580FB844}"/>
    <cellStyle name="Normalny 2 4 2 3" xfId="1919" xr:uid="{9522D01C-B39A-4311-B0A8-55FDA504C7DF}"/>
    <cellStyle name="Normalny 2 4 2 3 2" xfId="2542" xr:uid="{BD4F5C37-4588-44A9-A07E-6E3CA7A26BEF}"/>
    <cellStyle name="Normalny 2 4 2 4" xfId="1920" xr:uid="{463240F5-B4B3-49BC-9FB8-22EA9654DFB4}"/>
    <cellStyle name="Normalny 2 4 2 5" xfId="2411" xr:uid="{2851383B-073A-4860-93EB-173FFB11641D}"/>
    <cellStyle name="Normalny 2 4 2_IMPORT" xfId="1921" xr:uid="{38C512BA-1A07-45C2-A1F3-66AABE024ACC}"/>
    <cellStyle name="Normalny 2 4 3" xfId="1922" xr:uid="{2C01F7F7-5795-4A63-B17C-F19E4CE35EB8}"/>
    <cellStyle name="Normalny 2 4 3 2" xfId="1923" xr:uid="{4CC4E762-7434-454D-AE54-0BEEAA9890EA}"/>
    <cellStyle name="Normalny 2 4 3 2 2" xfId="1924" xr:uid="{7B1C3AA3-D2FE-4D08-A68E-DC1BB858A832}"/>
    <cellStyle name="Normalny 2 4 3 2 2 2" xfId="2554" xr:uid="{C78B74A8-48C0-4B66-853C-90F9B0C7DBF3}"/>
    <cellStyle name="Normalny 2 4 3 2 3" xfId="2481" xr:uid="{0AAB4125-C6B5-475B-881D-AF66A941ADFB}"/>
    <cellStyle name="Normalny 2 4 3 2_IMPORT" xfId="1925" xr:uid="{C09093E2-9E88-41B1-9EFB-80468CB08153}"/>
    <cellStyle name="Normalny 2 4 3 3" xfId="1926" xr:uid="{24F26F2F-F74F-47EE-8336-C7720738D715}"/>
    <cellStyle name="Normalny 2 4 3 3 2" xfId="2532" xr:uid="{C5AD4610-469B-46BC-924B-3CFBCEE2769C}"/>
    <cellStyle name="Normalny 2 4 3 4" xfId="1927" xr:uid="{7D5FF316-6B37-4B56-AFB8-10646DB53910}"/>
    <cellStyle name="Normalny 2 4 3 5" xfId="2383" xr:uid="{AF8F179C-A032-44F6-AF5D-0E0376200B8E}"/>
    <cellStyle name="Normalny 2 4 4" xfId="1928" xr:uid="{982BE1DD-0416-4399-83C1-6C3B7DD08D6D}"/>
    <cellStyle name="Normalny 2 4 4 2" xfId="1929" xr:uid="{DB0780FF-06A4-4210-80AD-2EFD86D67EBE}"/>
    <cellStyle name="Normalny 2 4 4 2 2" xfId="2572" xr:uid="{AE140013-9A85-4FED-A203-4F2C80E3CF7A}"/>
    <cellStyle name="Normalny 2 4 4 3" xfId="1930" xr:uid="{92855CD0-1B29-4AC1-8A8F-F24D347D9973}"/>
    <cellStyle name="Normalny 2 4 4 4" xfId="2499" xr:uid="{0E1287AD-CB0F-432F-BB3B-0EC6944A8625}"/>
    <cellStyle name="Normalny 2 4 4_IMPORT" xfId="1931" xr:uid="{1F6F1376-04C4-4BC5-B6E1-B3696763F586}"/>
    <cellStyle name="Normalny 2 4 5" xfId="2321" xr:uid="{7BA568EB-705C-4E49-B5EA-7C3721E7B694}"/>
    <cellStyle name="Normalny 2 4_IMPORT" xfId="1932" xr:uid="{527064BA-2843-4379-A6E5-7252F821A8DB}"/>
    <cellStyle name="Normalny 2 5" xfId="1933" xr:uid="{F145E530-04BB-45DA-8921-7F5885533C60}"/>
    <cellStyle name="Normalny 2 5 2" xfId="1934" xr:uid="{DE54A48A-2B66-42AB-ABC5-D3790BCEB833}"/>
    <cellStyle name="Normalny 2 5 3" xfId="1935" xr:uid="{1BC293FE-8342-4E83-BEDF-8B7116A729F6}"/>
    <cellStyle name="Normalny 2 5 3 2" xfId="2526" xr:uid="{AC3784F2-8031-46E4-9C10-B668DFC5CAED}"/>
    <cellStyle name="Normalny 2 5 4" xfId="1936" xr:uid="{74792451-48A5-4903-85B6-2DCE03748D3B}"/>
    <cellStyle name="Normalny 2 5 5" xfId="2324" xr:uid="{9134FE0E-868E-4D00-9A31-619F0240B3CB}"/>
    <cellStyle name="Normalny 2 6" xfId="1937" xr:uid="{35749514-FA79-4631-8B36-522CDC154975}"/>
    <cellStyle name="Normalny 2 6 2" xfId="1938" xr:uid="{E58945DC-A773-468C-92EE-7145ECBFBFE5}"/>
    <cellStyle name="Normalny 2 6 2 2" xfId="1939" xr:uid="{07E6CE68-F3FF-4AFA-87BB-C0213051F4C3}"/>
    <cellStyle name="Normalny 2 6 2 2 2" xfId="2556" xr:uid="{102B4DDF-BA61-4CDA-951F-AA9FD9A94ECC}"/>
    <cellStyle name="Normalny 2 6 2 3" xfId="2483" xr:uid="{6EF24E06-B02C-472E-897B-E8B924A0FD68}"/>
    <cellStyle name="Normalny 2 6 2_IMPORT" xfId="1940" xr:uid="{200D9719-0D14-48EC-9603-F2FD3360012E}"/>
    <cellStyle name="Normalny 2 6 3" xfId="1941" xr:uid="{FEDB43E8-2ABF-4CEC-AA3A-B641A10F415C}"/>
    <cellStyle name="Normalny 2 6 3 2" xfId="2534" xr:uid="{B402740A-57A0-41D4-AB71-1966446D55AA}"/>
    <cellStyle name="Normalny 2 6 4" xfId="1942" xr:uid="{D94891AA-324A-450E-9CA2-1E548080BFBC}"/>
    <cellStyle name="Normalny 2 6 5" xfId="2402" xr:uid="{2A23641F-D69A-48FC-A879-9C2E7366B4BE}"/>
    <cellStyle name="Normalny 2 6_IMPORT" xfId="1943" xr:uid="{BBF55DF7-A48B-4C73-8060-1DADB9C21ACF}"/>
    <cellStyle name="Normalny 2 7" xfId="1944" xr:uid="{0465E8CF-53B1-4CE5-BE3B-84A1A10C372F}"/>
    <cellStyle name="Normalny 2 7 2" xfId="1945" xr:uid="{4620F816-9F96-49BD-969A-4D927CDDBD63}"/>
    <cellStyle name="Normalny 2 7 2 2" xfId="1946" xr:uid="{DF2C51AE-E1A8-4FB6-A029-AD0514DF6984}"/>
    <cellStyle name="Normalny 2 7 2 2 2" xfId="2564" xr:uid="{AC1836AF-7EA0-4F32-85A3-1EE8DDB9BB20}"/>
    <cellStyle name="Normalny 2 7 2 3" xfId="2491" xr:uid="{D550F4D2-DA23-4C7A-8C06-6395E34B03EF}"/>
    <cellStyle name="Normalny 2 7 2_IMPORT" xfId="1947" xr:uid="{DAB567BC-AE08-4BD0-8477-4CC4413A8B95}"/>
    <cellStyle name="Normalny 2 7 3" xfId="1948" xr:uid="{BB72FF5A-E9AD-45FA-886E-A433B5B40542}"/>
    <cellStyle name="Normalny 2 7 3 2" xfId="2541" xr:uid="{45F92246-082B-43E3-9376-BE4CC168B6F7}"/>
    <cellStyle name="Normalny 2 7 4" xfId="1949" xr:uid="{E7358DAE-CC5E-4831-8D91-10EDA428E4AC}"/>
    <cellStyle name="Normalny 2 7 5" xfId="2410" xr:uid="{CB38D652-DD32-415E-84E5-4FAEA8483C58}"/>
    <cellStyle name="Normalny 2 7_IMPORT" xfId="1950" xr:uid="{086808C7-85F5-4675-A9F3-BC5D9AC79C5E}"/>
    <cellStyle name="Normalny 2 8" xfId="1951" xr:uid="{D972C2DB-A08A-4198-8392-83B4AD5A98FB}"/>
    <cellStyle name="Normalny 2 8 2" xfId="1952" xr:uid="{8CE5540A-7FA7-4FB4-A56D-0DFBE0B47319}"/>
    <cellStyle name="Normalny 2 8 2 2" xfId="1953" xr:uid="{E2F328C0-8545-4BC0-A491-A52FB1C38DFA}"/>
    <cellStyle name="Normalny 2 8 2 2 2" xfId="2558" xr:uid="{36C2CE44-E81E-4405-AF0C-35ABFB0200C4}"/>
    <cellStyle name="Normalny 2 8 2 3" xfId="2485" xr:uid="{9BF856BA-B2FA-4276-839E-CC07D3730F6F}"/>
    <cellStyle name="Normalny 2 8 2_IMPORT" xfId="1954" xr:uid="{CC76E058-3B9F-4147-82B8-DE5F8C26B259}"/>
    <cellStyle name="Normalny 2 8 3" xfId="1955" xr:uid="{0F4F9DAB-2B39-48BE-9E7F-1F2E06EE6334}"/>
    <cellStyle name="Normalny 2 8 3 2" xfId="2536" xr:uid="{5A951379-B798-425A-8098-6ADB0CD09B51}"/>
    <cellStyle name="Normalny 2 8 4" xfId="1956" xr:uid="{919C583E-59AB-4463-B1B3-33A40F5F7A81}"/>
    <cellStyle name="Normalny 2 8 5" xfId="2404" xr:uid="{66928AF2-F7DF-4645-9A91-8575CE7E30E7}"/>
    <cellStyle name="Normalny 2 8_IMPORT" xfId="1957" xr:uid="{E1FDFCBD-9325-41AC-9A53-081F0096B01C}"/>
    <cellStyle name="Normalny 2 9" xfId="1958" xr:uid="{F293CD20-F215-4ABF-BF6E-8CB7B70AE5CC}"/>
    <cellStyle name="Normalny 2 9 2" xfId="1959" xr:uid="{0ADC1ACD-95CC-4EC6-B281-E7DFDD139151}"/>
    <cellStyle name="Normalny 2 9 2 2" xfId="1960" xr:uid="{CA6A021E-04DD-4A49-8CA5-21CB1608CB3D}"/>
    <cellStyle name="Normalny 2 9 2 2 2" xfId="2567" xr:uid="{76E4D0B8-A080-4630-BB03-8165FF19D9B2}"/>
    <cellStyle name="Normalny 2 9 2 3" xfId="2494" xr:uid="{5EF57065-6A0E-4FDA-AEB2-E51B56491FD3}"/>
    <cellStyle name="Normalny 2 9 2_IMPORT" xfId="1961" xr:uid="{38D0C6CF-AD76-4037-B4DF-EF65DC8952CE}"/>
    <cellStyle name="Normalny 2 9 3" xfId="1962" xr:uid="{B74E6AA6-F4EE-4B29-8876-F37596A65594}"/>
    <cellStyle name="Normalny 2 9 3 2" xfId="2544" xr:uid="{01299857-FFF0-40C5-A017-0C71185D9D88}"/>
    <cellStyle name="Normalny 2 9 4" xfId="1963" xr:uid="{682350A8-DB75-47E5-9E82-CD7A4CF398B9}"/>
    <cellStyle name="Normalny 2 9 5" xfId="2425" xr:uid="{9E03003E-69AC-4C95-8CF2-F5014C197CC1}"/>
    <cellStyle name="Normalny 2 9_IMPORT" xfId="1964" xr:uid="{F09D19C8-FBE0-4A06-A899-E1C9E034A77C}"/>
    <cellStyle name="Normalny 2_03ceny39" xfId="1965" xr:uid="{31BA1421-FE74-4A18-8C2C-536A57CFA23A}"/>
    <cellStyle name="Normalny 3" xfId="1966" xr:uid="{E412DE31-59F1-482D-ABDC-2759CC3BDD0D}"/>
    <cellStyle name="Normalny 3 10" xfId="1967" xr:uid="{3E703D13-5ED7-4E66-8F71-8FB9A216D317}"/>
    <cellStyle name="Normalny 3 10 2" xfId="1968" xr:uid="{F92A1ED4-5A0D-42D2-BC3C-268E9CF2B87A}"/>
    <cellStyle name="Normalny 3 10 2 2" xfId="1969" xr:uid="{52087B85-7D26-44ED-A3B2-34D55EEAD7F3}"/>
    <cellStyle name="Normalny 3 10 2 2 2" xfId="2569" xr:uid="{499EDA93-ECF3-4A0A-BB1A-556AE4A6CAA1}"/>
    <cellStyle name="Normalny 3 10 2 3" xfId="2496" xr:uid="{711B5F2E-6526-4659-8A0E-70E1F31FD20E}"/>
    <cellStyle name="Normalny 3 10 2_IMPORT" xfId="1970" xr:uid="{79ABFEC4-A109-46D7-9948-51605C986BF2}"/>
    <cellStyle name="Normalny 3 10 3" xfId="1971" xr:uid="{0F731855-685B-4940-91D6-88D6D2B501AD}"/>
    <cellStyle name="Normalny 3 10 3 2" xfId="2546" xr:uid="{40AA873A-48C4-4038-8682-AF63E939B2E3}"/>
    <cellStyle name="Normalny 3 10 4" xfId="2428" xr:uid="{31D15270-BE66-4113-BF6D-D5D6EE8A4445}"/>
    <cellStyle name="Normalny 3 10_IMPORT" xfId="1972" xr:uid="{13C83C84-0A62-42F3-B0C3-33B942508422}"/>
    <cellStyle name="Normalny 3 11" xfId="1973" xr:uid="{C9756AF0-266B-46DA-BA58-6ED4BF0E0982}"/>
    <cellStyle name="Normalny 3 11 2" xfId="1974" xr:uid="{E192D2D3-B725-4F97-B71D-093AEC57ACE4}"/>
    <cellStyle name="Normalny 3 11 2 2" xfId="1975" xr:uid="{A516F33D-D4E8-45C5-BAB3-4E09395B5964}"/>
    <cellStyle name="Normalny 3 11 2 2 2" xfId="2552" xr:uid="{50D2A775-302E-4006-A1E3-FC22E64C1A3F}"/>
    <cellStyle name="Normalny 3 11 2 3" xfId="2473" xr:uid="{1F603B1E-BC8E-47C5-A0CC-79D6C8BCC137}"/>
    <cellStyle name="Normalny 3 11 2_IMPORT" xfId="1976" xr:uid="{C4EE77C6-0213-4B50-8FA7-98C704FCB00F}"/>
    <cellStyle name="Normalny 3 11 3" xfId="1977" xr:uid="{D88E276E-E312-42DE-A790-37A5A91E4941}"/>
    <cellStyle name="Normalny 3 11 3 2" xfId="2531" xr:uid="{F76D700C-C20D-4E3B-89D0-9D96EA7A1F5D}"/>
    <cellStyle name="Normalny 3 11 4" xfId="2328" xr:uid="{61D70755-29AC-4824-BEFC-B2EC1484F38B}"/>
    <cellStyle name="Normalny 3 11_IMPORT" xfId="1978" xr:uid="{F4278052-38F8-46E6-B95B-2FD48274F093}"/>
    <cellStyle name="Normalny 3 12" xfId="1979" xr:uid="{F92DBD61-B8B2-4FC0-B193-59BB73C83424}"/>
    <cellStyle name="Normalny 3 12 2" xfId="1980" xr:uid="{33CA2293-1328-4951-99E7-C21CE414E5DF}"/>
    <cellStyle name="Normalny 3 12 2 2" xfId="2548" xr:uid="{BFCF56B5-ABAF-4B11-BCEB-E8B439ED317D}"/>
    <cellStyle name="Normalny 3 12 3" xfId="2454" xr:uid="{C6FE1D5E-0F48-44A5-8240-7AF2C008F041}"/>
    <cellStyle name="Normalny 3 12_IMPORT" xfId="1981" xr:uid="{3584DA58-2B8C-403F-B90A-5358BEFDE231}"/>
    <cellStyle name="Normalny 3 13" xfId="1982" xr:uid="{8315662D-2902-4A62-A462-51727D554443}"/>
    <cellStyle name="Normalny 3 14" xfId="1983" xr:uid="{19A18B04-43DE-45C8-9DD8-1DB0DE3C2249}"/>
    <cellStyle name="Normalny 3 14 2" xfId="1984" xr:uid="{1A1A3EAB-0819-4D40-960F-16476B163F3E}"/>
    <cellStyle name="Normalny 3 14 2 2" xfId="2571" xr:uid="{190391ED-3270-4B87-BA2F-E400A66E59A7}"/>
    <cellStyle name="Normalny 3 14 3" xfId="2498" xr:uid="{4B7D6DDA-2F85-4561-A55E-F1F58B32C735}"/>
    <cellStyle name="Normalny 3 14_IMPORT" xfId="1985" xr:uid="{580CA59C-B03F-414D-BAD8-BFDF5E509CE5}"/>
    <cellStyle name="Normalny 3 15" xfId="1986" xr:uid="{F9B1AB6B-4D50-4EC9-BAA8-6440036D8D16}"/>
    <cellStyle name="Normalny 3 15 2" xfId="2504" xr:uid="{322AA736-D59E-4AD2-A3B2-9B14D9F2F110}"/>
    <cellStyle name="Normalny 3 16" xfId="1987" xr:uid="{A886964D-A212-48C9-A7A9-10467EF10FD2}"/>
    <cellStyle name="Normalny 3 2" xfId="1988" xr:uid="{F6AB4057-AC07-4368-9D77-83AA009A3D4E}"/>
    <cellStyle name="Normalny 3 2 2" xfId="1989" xr:uid="{30880513-80F9-4632-BE4A-97963FED931C}"/>
    <cellStyle name="Normalny 3 2 3" xfId="1990" xr:uid="{43B69654-36F3-4A5C-AFB1-D01D16F0EEA5}"/>
    <cellStyle name="Normalny 3 2 4" xfId="1991" xr:uid="{6215959B-A811-4781-B162-EB0B7E6C7BB9}"/>
    <cellStyle name="Normalny 3 2 4 2" xfId="1992" xr:uid="{85F3C05E-0990-44AB-9407-F5A3285D8646}"/>
    <cellStyle name="Normalny 3 2 4 3" xfId="2506" xr:uid="{44453BB5-CCAE-4F6A-9B13-CD16E1B36DEE}"/>
    <cellStyle name="Normalny 3 2 4_IMPORT" xfId="1993" xr:uid="{1F47F240-EACA-4998-BDF0-2CEF60288395}"/>
    <cellStyle name="Normalny 3 2 5" xfId="1994" xr:uid="{9F6E3B62-A5CB-4178-B487-92892DDB6E49}"/>
    <cellStyle name="Normalny 3 2 6" xfId="2244" xr:uid="{5B589D8E-2445-44A1-AB0F-F517467FB26F}"/>
    <cellStyle name="Normalny 3 2_03ceny39" xfId="1995" xr:uid="{926B6596-7B3E-4516-AF49-1D8DC63BEAE7}"/>
    <cellStyle name="Normalny 3 3" xfId="1996" xr:uid="{BAF6249C-2F9A-4301-9AB3-9C424DA9E6FC}"/>
    <cellStyle name="Normalny 3 3 2" xfId="1997" xr:uid="{2F300155-3C90-4339-94BD-59043127FD7D}"/>
    <cellStyle name="Normalny 3 3 2 2" xfId="1998" xr:uid="{AF5C324D-8CC5-4D98-A244-4FA287F04098}"/>
    <cellStyle name="Normalny 3 3 2 2 2" xfId="1999" xr:uid="{5FAD1476-B694-452E-A0C8-0865955FDF61}"/>
    <cellStyle name="Normalny 3 3 2 2 2 2" xfId="2566" xr:uid="{E8FBAC2C-C174-42BF-A87B-24A49BAE2493}"/>
    <cellStyle name="Normalny 3 3 2 2 3" xfId="2493" xr:uid="{7ACB09CA-6CA4-4999-B5C3-51F0D5FE01A5}"/>
    <cellStyle name="Normalny 3 3 2 2_IMPORT" xfId="2000" xr:uid="{818A9B3E-7C1D-4E63-8C6E-881B82D465CD}"/>
    <cellStyle name="Normalny 3 3 2 3" xfId="2001" xr:uid="{CE962D96-EB62-4E0A-9D6F-45F63E25F944}"/>
    <cellStyle name="Normalny 3 3 2 3 2" xfId="2543" xr:uid="{59C52060-4294-43B5-9CA1-CEBEAD596872}"/>
    <cellStyle name="Normalny 3 3 2 4" xfId="2002" xr:uid="{01C5D1AA-E457-49D2-B3F4-0C0FE4CEBC20}"/>
    <cellStyle name="Normalny 3 3 2 5" xfId="2412" xr:uid="{7373485C-2CAF-4FF0-97E2-E5C464E080F3}"/>
    <cellStyle name="Normalny 3 3 2_IMPORT" xfId="2003" xr:uid="{F61BB980-EA84-4D4E-AE06-BD498F4CCFBE}"/>
    <cellStyle name="Normalny 3 3 3" xfId="2004" xr:uid="{86B7CFA3-58EC-4D28-BAC1-EF45BC304002}"/>
    <cellStyle name="Normalny 3 3 3 2" xfId="2005" xr:uid="{B38ACA39-477F-4055-A1C2-7085FD43D75D}"/>
    <cellStyle name="Normalny 3 3 3 2 2" xfId="2533" xr:uid="{90B38190-566B-4966-98AE-77A3E15FC278}"/>
    <cellStyle name="Normalny 3 3 3 3" xfId="2006" xr:uid="{AE27001E-2BFA-452D-B43E-AADF21129874}"/>
    <cellStyle name="Normalny 3 3 3 4" xfId="2384" xr:uid="{E8C183BF-39F0-4B67-B264-35C30EEA54B7}"/>
    <cellStyle name="Normalny 3 3 3_IMPORT" xfId="2007" xr:uid="{63E0DC4F-A5FC-4194-8D61-611D225102CA}"/>
    <cellStyle name="Normalny 3 3 4" xfId="2008" xr:uid="{A0E291B8-A982-4011-9ED5-550164EF1699}"/>
    <cellStyle name="Normalny 3 3 4 2" xfId="2009" xr:uid="{18B512A6-F641-4A6A-8411-EBAC15CCA933}"/>
    <cellStyle name="Normalny 3 3 4 2 2" xfId="2555" xr:uid="{CAC376A6-703E-4C42-9525-DE62BE9FC338}"/>
    <cellStyle name="Normalny 3 3 4 3" xfId="2482" xr:uid="{4BAD7C85-D173-49E7-AD22-3A7E9CDF6549}"/>
    <cellStyle name="Normalny 3 3 4_IMPORT" xfId="2010" xr:uid="{087B76FC-6BAC-4C1C-842D-58F59A98BCA8}"/>
    <cellStyle name="Normalny 3 3 5" xfId="2011" xr:uid="{0A9D79B5-6A61-460B-9C38-05462095E964}"/>
    <cellStyle name="Normalny 3 3 5 2" xfId="2012" xr:uid="{7FC0123B-1508-4469-94A3-20A61423EB0B}"/>
    <cellStyle name="Normalny 3 3 5 2 2" xfId="2573" xr:uid="{287E64AC-296F-4CBB-8391-EFB748A3E88A}"/>
    <cellStyle name="Normalny 3 3 5 3" xfId="2500" xr:uid="{E8136678-8761-4841-BCF2-F3A674975E7E}"/>
    <cellStyle name="Normalny 3 3 5_IMPORT" xfId="2013" xr:uid="{0F28BC59-D417-4FA2-B2D9-78E36CCF6578}"/>
    <cellStyle name="Normalny 3 3 6" xfId="2014" xr:uid="{503D99D9-AF76-4779-BB22-F759C2DF8306}"/>
    <cellStyle name="Normalny 3 3 6 2" xfId="2527" xr:uid="{B5AB959F-6E99-42EF-AA27-8992562645CF}"/>
    <cellStyle name="Normalny 3 3 7" xfId="2015" xr:uid="{36EDBAB0-183C-41D5-87BF-F644E91A8CF3}"/>
    <cellStyle name="Normalny 3 3_IMPORT" xfId="2016" xr:uid="{574CA290-D2A9-4762-915C-5CABE69968C5}"/>
    <cellStyle name="Normalny 3 4" xfId="2017" xr:uid="{C20CD985-79CE-4099-AC62-785250EA4E23}"/>
    <cellStyle name="Normalny 3 4 2" xfId="2018" xr:uid="{475CC778-C4A2-4269-A1AD-001D8409A9C5}"/>
    <cellStyle name="Normalny 3 4 3" xfId="2019" xr:uid="{00527464-AF10-418F-9DD5-17D31E3E63EA}"/>
    <cellStyle name="Normalny 3 4 3 2" xfId="2528" xr:uid="{FEBCA767-2F01-4A9B-8996-B7EC386D1666}"/>
    <cellStyle name="Normalny 3 4 4" xfId="2020" xr:uid="{3EB23E7F-89E8-4124-B399-52159C9EF969}"/>
    <cellStyle name="Normalny 3 4 5" xfId="2325" xr:uid="{B67FAF9F-883A-4F73-AC0F-E393D522C4C0}"/>
    <cellStyle name="Normalny 3 5" xfId="2021" xr:uid="{C61C6E84-3E14-4256-A4DB-53C45AF25F9B}"/>
    <cellStyle name="Normalny 3 5 2" xfId="2022" xr:uid="{14CA4D6F-4245-47F7-9C3C-F2CDD30DE8F9}"/>
    <cellStyle name="Normalny 3 5 2 2" xfId="2023" xr:uid="{47C78C1B-3022-48F0-80AB-16BA47CACC3A}"/>
    <cellStyle name="Normalny 3 5 2 2 2" xfId="2535" xr:uid="{AC0B1132-4A23-469D-9775-BC1D441A2A54}"/>
    <cellStyle name="Normalny 3 5 2 3" xfId="2403" xr:uid="{72531F48-7EF0-4B56-90A0-744D6772B9C7}"/>
    <cellStyle name="Normalny 3 5 2_IMPORT" xfId="2024" xr:uid="{FC6B50B7-59F9-4A95-B67D-F45B4C77BEF5}"/>
    <cellStyle name="Normalny 3 5 3" xfId="2025" xr:uid="{3D75E264-A3BA-41E1-A0C8-F057258FE995}"/>
    <cellStyle name="Normalny 3 5 3 2" xfId="2026" xr:uid="{86A8ECB2-81F6-4425-8EFF-6B6FBE7BF562}"/>
    <cellStyle name="Normalny 3 5 3 2 2" xfId="2557" xr:uid="{207AE80F-2E62-4DBE-AE17-5C7F4A862EFA}"/>
    <cellStyle name="Normalny 3 5 3 3" xfId="2484" xr:uid="{0181CB93-1194-4535-8ACB-B4FA3667A2C8}"/>
    <cellStyle name="Normalny 3 5 3_IMPORT" xfId="2027" xr:uid="{85A99865-EA3F-4C6B-A554-CF36D05D6A2B}"/>
    <cellStyle name="Normalny 3 5 4" xfId="2028" xr:uid="{E2AE97BC-4C85-4D7D-AEC9-D2828F240BFE}"/>
    <cellStyle name="Normalny 3 5 4 2" xfId="2529" xr:uid="{6D5ACA8B-AC37-4EC5-B525-54973CE9FF44}"/>
    <cellStyle name="Normalny 3 5 5" xfId="2029" xr:uid="{ADECE22D-AE72-4735-943A-075A2A70DF89}"/>
    <cellStyle name="Normalny 3 5 6" xfId="2326" xr:uid="{740D7CA6-51B5-4753-857A-1C8DA2C506C0}"/>
    <cellStyle name="Normalny 3 5_IMPORT" xfId="2030" xr:uid="{EDDE1904-C8E8-4305-B7F4-5A23156C7BED}"/>
    <cellStyle name="Normalny 3 6" xfId="2031" xr:uid="{21D9C959-9945-4D8B-A136-56726BA437F9}"/>
    <cellStyle name="Normalny 3 6 2" xfId="2032" xr:uid="{B222B7BB-A425-462F-AF82-C8502F2ADAA5}"/>
    <cellStyle name="Normalny 3 6 2 2" xfId="2033" xr:uid="{70333E87-1E2F-44EA-8A36-31A2E4C1F76C}"/>
    <cellStyle name="Normalny 3 6 2 2 2" xfId="2563" xr:uid="{311CE25D-1AAC-4B84-BBC8-2F89EEBE57D3}"/>
    <cellStyle name="Normalny 3 6 2 3" xfId="2490" xr:uid="{21131447-2770-4843-B9CF-F1C09161ECBD}"/>
    <cellStyle name="Normalny 3 6 2_IMPORT" xfId="2034" xr:uid="{69DC0533-1698-4AD0-A666-B38264FF853E}"/>
    <cellStyle name="Normalny 3 6 3" xfId="2035" xr:uid="{5B5E03AB-0FB0-4591-858D-A220E6E4F996}"/>
    <cellStyle name="Normalny 3 6 3 2" xfId="2540" xr:uid="{90696306-D357-485F-A103-000DBC4AAD92}"/>
    <cellStyle name="Normalny 3 6 4" xfId="2036" xr:uid="{15D9BE62-7076-425C-831E-85954120996E}"/>
    <cellStyle name="Normalny 3 6 5" xfId="2409" xr:uid="{777F60B8-51A9-4F4F-BAFE-86B18E061979}"/>
    <cellStyle name="Normalny 3 6_IMPORT" xfId="2037" xr:uid="{DDC2B123-F278-4F74-9F24-BCF2C15E708E}"/>
    <cellStyle name="Normalny 3 7" xfId="2038" xr:uid="{08846122-DA0B-4F76-BA10-0D5BA4044FEC}"/>
    <cellStyle name="Normalny 3 7 2" xfId="2039" xr:uid="{E08E75C1-1792-469D-9D71-B7CA8A278830}"/>
    <cellStyle name="Normalny 3 7 2 2" xfId="2040" xr:uid="{A95FAF0C-E3A2-4047-B1F8-B8730EBC9647}"/>
    <cellStyle name="Normalny 3 7 2 2 2" xfId="2559" xr:uid="{7E8F58B6-1357-4ADD-8EBB-DE0911DD4479}"/>
    <cellStyle name="Normalny 3 7 2 3" xfId="2486" xr:uid="{869DD7F1-E0F7-44EB-95A3-CD61E7861384}"/>
    <cellStyle name="Normalny 3 7 2_IMPORT" xfId="2041" xr:uid="{68656280-03AC-4C67-ABE2-A6706A8E1FA5}"/>
    <cellStyle name="Normalny 3 7 3" xfId="2042" xr:uid="{48251EAC-047E-4F9A-BF60-E97D86F77282}"/>
    <cellStyle name="Normalny 3 7 3 2" xfId="2537" xr:uid="{2EAE74ED-FBD1-4296-A0BF-4006F8236743}"/>
    <cellStyle name="Normalny 3 7 4" xfId="2043" xr:uid="{5C5EF657-578E-4BB7-9227-A0FB1569B1EE}"/>
    <cellStyle name="Normalny 3 7 5" xfId="2405" xr:uid="{659F22F3-028C-4743-8933-E25470D39AEE}"/>
    <cellStyle name="Normalny 3 7_IMPORT" xfId="2044" xr:uid="{0BDC7654-6CB7-4346-A9EB-BAAEDAC66DF3}"/>
    <cellStyle name="Normalny 3 8" xfId="2045" xr:uid="{EB624224-473F-4E40-BC01-A647D2A9FF3F}"/>
    <cellStyle name="Normalny 3 8 2" xfId="2046" xr:uid="{4BDE4A97-B86F-469F-ABD9-137B5E425C27}"/>
    <cellStyle name="Normalny 3 8 2 2" xfId="2047" xr:uid="{9C2C4996-D253-4BE9-8C75-38C13FE523AA}"/>
    <cellStyle name="Normalny 3 8 2 2 2" xfId="2568" xr:uid="{A069237A-1E98-4BEA-A3C6-03E6F5A04C3A}"/>
    <cellStyle name="Normalny 3 8 2 3" xfId="2495" xr:uid="{0CDADD0B-4FC2-450E-915B-1A478FA8A8DE}"/>
    <cellStyle name="Normalny 3 8 2_IMPORT" xfId="2048" xr:uid="{EB43C378-04A2-4AC2-AB48-E301DB945672}"/>
    <cellStyle name="Normalny 3 8 3" xfId="2049" xr:uid="{C79A21B6-C568-4716-8793-5849A6330BDE}"/>
    <cellStyle name="Normalny 3 8 3 2" xfId="2545" xr:uid="{5F5F32A6-15C8-48EA-B9B1-9BCE98306F23}"/>
    <cellStyle name="Normalny 3 8 4" xfId="2426" xr:uid="{0E3174CE-C283-40B6-A673-8C4AB01C3567}"/>
    <cellStyle name="Normalny 3 8_IMPORT" xfId="2050" xr:uid="{48DC4907-E175-40AF-9FAC-AB29D19AAAE2}"/>
    <cellStyle name="Normalny 3 9" xfId="2051" xr:uid="{AD8500E0-D471-4CD9-A154-78ACB1E5DBC8}"/>
    <cellStyle name="Normalny 3 9 2" xfId="2052" xr:uid="{0058E80B-AED1-48EE-B880-2809BB94BBB0}"/>
    <cellStyle name="Normalny 3 9 2 2" xfId="2053" xr:uid="{A8125943-5283-4A0A-B624-3850F868E877}"/>
    <cellStyle name="Normalny 3 9 2 2 2" xfId="2561" xr:uid="{993B58AA-8F42-468A-825D-F6AB8335555D}"/>
    <cellStyle name="Normalny 3 9 2 3" xfId="2488" xr:uid="{83FA1E95-79FB-4FAF-934B-8CAD23509ED3}"/>
    <cellStyle name="Normalny 3 9 2_IMPORT" xfId="2054" xr:uid="{F13A0514-F260-4D0E-BCFD-1377CD31DC76}"/>
    <cellStyle name="Normalny 3 9 3" xfId="2055" xr:uid="{726EAB22-B40A-4936-9FB5-DBED3F294F6D}"/>
    <cellStyle name="Normalny 3 9 3 2" xfId="2539" xr:uid="{60CB75B9-D40C-4A01-BD8E-E5758ED9A362}"/>
    <cellStyle name="Normalny 3 9 4" xfId="2407" xr:uid="{19CEE259-3B2B-4DEB-9275-F96C0543C484}"/>
    <cellStyle name="Normalny 3 9_IMPORT" xfId="2056" xr:uid="{2FD5A314-1009-46BB-8B7D-5BD6CDA7879C}"/>
    <cellStyle name="Normalny 3_03ceny39" xfId="2057" xr:uid="{C0570C7F-66E3-4659-B646-604A47294465}"/>
    <cellStyle name="Normalny 4" xfId="2058" xr:uid="{FD307538-F97E-4666-AF32-AC92D84AE424}"/>
    <cellStyle name="Normalny 4 2" xfId="2059" xr:uid="{BC896D57-66B9-4D97-8223-F0B4822AA9DF}"/>
    <cellStyle name="Normalny 4 2 2" xfId="2060" xr:uid="{22A95A3F-4A4F-4C60-BD5C-A091BE1867B3}"/>
    <cellStyle name="Normalny 4 2 3" xfId="2061" xr:uid="{4367B6B6-5452-4AA5-A239-151647FDA0B4}"/>
    <cellStyle name="Normalny 4 2_IMPORT" xfId="2062" xr:uid="{BDECD5A2-6F1F-47D3-BF41-6D200BBDE740}"/>
    <cellStyle name="Normalny 4 3" xfId="2063" xr:uid="{00F16618-E3FA-43E3-9C92-4DA4ED93FC1E}"/>
    <cellStyle name="Normalny 4 4" xfId="2064" xr:uid="{A60A5367-4742-4D5F-97D2-0664BE0AFF19}"/>
    <cellStyle name="Normalny 4 5" xfId="2322" xr:uid="{230906FA-662A-49E4-AD0B-FBB9D37B8727}"/>
    <cellStyle name="Normalny 4_16_25_wartości importów_2" xfId="2065" xr:uid="{E53DFFB7-65BB-40C0-A1C2-38FAB1BD164B}"/>
    <cellStyle name="Normalny 5" xfId="2066" xr:uid="{D70EFEED-22AD-478A-8650-BF021444DB6F}"/>
    <cellStyle name="Normalny 6" xfId="2067" xr:uid="{8B673F84-0D48-4422-A93B-EE0C534151AC}"/>
    <cellStyle name="Normalny 7" xfId="2068" xr:uid="{83CFF755-3FB5-4F67-9326-575661096C88}"/>
    <cellStyle name="Normalny 7 2" xfId="2069" xr:uid="{14A5D2CC-F555-47DE-BD61-AD6F6EEA001B}"/>
    <cellStyle name="Normalny 7 3" xfId="2070" xr:uid="{762B2066-BF64-4008-870B-D90548889CCF}"/>
    <cellStyle name="Normalny 7_IMPORT" xfId="2071" xr:uid="{5EBDDD8B-1652-40D1-9CBC-0FC154B75AD0}"/>
    <cellStyle name="Normalny 8" xfId="2072" xr:uid="{B669C6FC-BF77-476B-AEAA-530134234E9C}"/>
    <cellStyle name="Normalny 9" xfId="2073" xr:uid="{6A501038-D83B-4FE9-AF41-1AA70CD4726E}"/>
    <cellStyle name="Normalny 9 2" xfId="2501" xr:uid="{4EBB20EB-EE7D-4E12-B47D-70BEF6901364}"/>
    <cellStyle name="Normalny_Arkusz1" xfId="2074" xr:uid="{D745B675-54FD-4DB1-AC18-0AEFE08A0C74}"/>
    <cellStyle name="Normalny_IMPORT_3" xfId="3618" xr:uid="{FAC45A0E-6488-480A-B0F8-E9153AA15B8F}"/>
    <cellStyle name="Note" xfId="2075" xr:uid="{A241C02C-ED9A-4937-8F9C-1F7D6AF1BA62}"/>
    <cellStyle name="Note 1" xfId="2076" xr:uid="{20873A8E-71AE-49B9-B837-78A25672A421}"/>
    <cellStyle name="Note 1 2" xfId="2077" xr:uid="{E363B020-DD66-4E1B-BE01-A430AFBF27D8}"/>
    <cellStyle name="Note 2" xfId="2078" xr:uid="{7BF4F69D-7777-4867-BB98-2086446CE2DC}"/>
    <cellStyle name="Note 2 2" xfId="2079" xr:uid="{176D7039-7E57-4CC6-ADC1-6A193651BD89}"/>
    <cellStyle name="Note 2 2 2" xfId="2080" xr:uid="{EAD74D98-1FE5-482B-8552-8F10616FCFA1}"/>
    <cellStyle name="Note 2 3" xfId="2081" xr:uid="{6AE3DF8C-595E-4AC3-982E-FECB41D69940}"/>
    <cellStyle name="Note 2_d" xfId="3538" xr:uid="{D7B84035-8370-46FF-9D7E-DFDB77C1C191}"/>
    <cellStyle name="Note 3" xfId="2082" xr:uid="{76313262-97B6-4DF6-B49A-C42D411873C7}"/>
    <cellStyle name="Note 3 2" xfId="2083" xr:uid="{9D73B2B6-BC3E-4460-A263-8D4E41ECA484}"/>
    <cellStyle name="Note 4" xfId="2084" xr:uid="{EC9A4ED4-780D-4AE7-B729-074C43F0A7F7}"/>
    <cellStyle name="Note 4 2" xfId="2085" xr:uid="{A74683F7-762E-445C-A3DB-3EE5A7F7BC2D}"/>
    <cellStyle name="Note_50_ceny" xfId="2086" xr:uid="{7BE09782-DBB2-4593-B7AD-B89DF4584398}"/>
    <cellStyle name="Notitie" xfId="3539" xr:uid="{386C5381-2867-461B-B09E-0A40AF096BEA}"/>
    <cellStyle name="Notiz" xfId="2087" xr:uid="{D17D0F82-8088-4EBC-BFE1-3893F2AAF32D}"/>
    <cellStyle name="Notiz 2" xfId="2088" xr:uid="{B367FBF7-B9E2-4EF0-9924-3277E618811B}"/>
    <cellStyle name="Notiz 3" xfId="2323" xr:uid="{04EF2C10-2F31-4058-B27F-889C5AFC5535}"/>
    <cellStyle name="Obliczenia" xfId="3540" xr:uid="{FF75C6A3-F84F-4604-94EF-137C02478A0D}"/>
    <cellStyle name="Obliczenia 2" xfId="2089" xr:uid="{2624D564-2E8C-47FF-AA6F-CE5875D0F66F}"/>
    <cellStyle name="Obliczenia 2 2" xfId="2090" xr:uid="{C35BF4F9-2D51-406F-8A8E-31E4953A3A18}"/>
    <cellStyle name="Obliczenia 2 3" xfId="2091" xr:uid="{AB384AEC-CED2-482A-BDDE-C868C8E22E43}"/>
    <cellStyle name="Obliczenia 2 4" xfId="2092" xr:uid="{F5ABDB5E-8A59-44EB-8545-4D016E0A52B9}"/>
    <cellStyle name="Obliczenia 3" xfId="2093" xr:uid="{561CC563-194E-403D-8BC3-385B43C5F185}"/>
    <cellStyle name="Obliczenia 4" xfId="2094" xr:uid="{877F729A-E7CA-4644-916D-821F25DFFA65}"/>
    <cellStyle name="Obliczenia 4 2" xfId="2095" xr:uid="{5D5FE9BF-7E37-437D-A92F-6C226981B83F}"/>
    <cellStyle name="Obliczenia 5" xfId="2096" xr:uid="{E1829F7C-B87D-4E9F-A00A-926943280C70}"/>
    <cellStyle name="Obliczenia_Arkusz1" xfId="3541" xr:uid="{288070A8-075A-4E87-AE97-95D6F7259F13}"/>
    <cellStyle name="Output" xfId="2097" xr:uid="{DF8015D9-3CF8-4D87-B6DA-CDA21B4EFFDC}"/>
    <cellStyle name="Output 2" xfId="2098" xr:uid="{79CDB694-2F80-4C20-9A4F-A74A6F0EF604}"/>
    <cellStyle name="Output_Additional price" xfId="2099" xr:uid="{7D6DF4EE-7432-4818-802C-17E65F9EC03D}"/>
    <cellStyle name="Percent 2" xfId="2100" xr:uid="{0FC46728-AB85-4028-A531-23ECA7F45F8C}"/>
    <cellStyle name="Pivot Table Category" xfId="2101" xr:uid="{3A2B442F-5DC6-498D-9B75-A9A35C8F4F41}"/>
    <cellStyle name="Pivot Table Category 2" xfId="2102" xr:uid="{0574C41C-86C4-4BD5-A93C-CC1AEE8F9657}"/>
    <cellStyle name="Pivot Table Category 2 2" xfId="2103" xr:uid="{D57BAF1D-14AD-4628-9304-5A602C4C8583}"/>
    <cellStyle name="Pivot Table Category 2 3" xfId="2475" xr:uid="{11FA394B-FD66-409B-AB84-FC97E1D1B6B9}"/>
    <cellStyle name="Pivot Table Category 3" xfId="2104" xr:uid="{E40226EC-3D87-4DD9-B760-D4E509635FC2}"/>
    <cellStyle name="Pivot Table Category 3 2" xfId="2105" xr:uid="{C1D2D58E-28B7-4E53-8BA1-F3380DEED91B}"/>
    <cellStyle name="Pivot Table Corner" xfId="2106" xr:uid="{7EF6CC95-0050-4868-A5E6-B6CD5FD507D5}"/>
    <cellStyle name="Pivot Table Corner 2" xfId="2107" xr:uid="{28DAF161-EAEE-4225-A897-246AE30B5D6D}"/>
    <cellStyle name="Pivot Table Corner 2 2" xfId="2108" xr:uid="{DF0754FF-169D-4275-9D63-D2CFB3F4ABC9}"/>
    <cellStyle name="Pivot Table Corner 2 3" xfId="2476" xr:uid="{B8B1AAAB-78F7-4ECC-9A88-C898CDD54179}"/>
    <cellStyle name="Pivot Table Corner 3" xfId="2109" xr:uid="{2CAA549F-FB92-4BB4-82A0-6B3C9FB3EBA3}"/>
    <cellStyle name="Pivot Table Corner 3 2" xfId="2110" xr:uid="{315C72CC-AED9-4993-B09C-BF83755F184F}"/>
    <cellStyle name="Pivot Table Field" xfId="2111" xr:uid="{2B0B4D18-8C3B-4D77-9198-D8237DEE86DB}"/>
    <cellStyle name="Pivot Table Field 2" xfId="2112" xr:uid="{FD3314D0-E145-40F5-BBFB-FA7961B028C7}"/>
    <cellStyle name="Pivot Table Field 2 2" xfId="2113" xr:uid="{C7D3DC8B-9E68-4122-88E2-85D1CE4EA57B}"/>
    <cellStyle name="Pivot Table Field 2 3" xfId="2477" xr:uid="{8A0C7B83-B714-4592-B700-C8507D017A40}"/>
    <cellStyle name="Pivot Table Field 3" xfId="2114" xr:uid="{EA22F0D6-9062-4D72-B102-31831F004A84}"/>
    <cellStyle name="Pivot Table Field 3 2" xfId="2115" xr:uid="{3B484274-3451-4C7C-A472-7D11CE18F171}"/>
    <cellStyle name="Pivot Table Result" xfId="2116" xr:uid="{5C401084-9524-4D26-84D1-D9C6146C4726}"/>
    <cellStyle name="Pivot Table Result 2" xfId="2117" xr:uid="{AC6C85DD-C53E-482D-8A41-823183F08BEC}"/>
    <cellStyle name="Pivot Table Result 2 2" xfId="2118" xr:uid="{561C0654-0734-43DA-935A-D4A666936E71}"/>
    <cellStyle name="Pivot Table Result 2 3" xfId="2478" xr:uid="{FA3E77E0-19C8-4F4F-B3FF-CBAFD374DB64}"/>
    <cellStyle name="Pivot Table Result 3" xfId="2119" xr:uid="{B6FB2948-2F68-4860-BC8F-43B0F9437607}"/>
    <cellStyle name="Pivot Table Result 3 2" xfId="2120" xr:uid="{876DE38B-4A30-448E-BA72-FD9EB63EDD10}"/>
    <cellStyle name="Pivot Table Result_IMPORT" xfId="2121" xr:uid="{FAC15B72-C590-450E-AE5A-A2C875271566}"/>
    <cellStyle name="Pivot Table Title" xfId="2122" xr:uid="{099124AD-8DD0-46EE-89EE-C590207AD6AC}"/>
    <cellStyle name="Pivot Table Title 2" xfId="2123" xr:uid="{5FA09ED6-732B-403E-B81D-281492E9E5DE}"/>
    <cellStyle name="Pivot Table Title 2 2" xfId="2124" xr:uid="{02D3FB4A-A7C0-40F5-98F9-A5D7A12C27D4}"/>
    <cellStyle name="Pivot Table Title 2 3" xfId="2479" xr:uid="{C1F6405C-55F4-4279-B753-56A3961A96DC}"/>
    <cellStyle name="Pivot Table Title 3" xfId="2125" xr:uid="{0B9CAB64-5E46-4695-ABE1-BF0E9568F880}"/>
    <cellStyle name="Pivot Table Title 3 2" xfId="2126" xr:uid="{7D4E363D-5A57-4F82-A7AC-3C595F2C8085}"/>
    <cellStyle name="Pivot Table Title_IMPORT" xfId="2127" xr:uid="{CD0DE9EE-CA9E-47FE-9958-F743C47846DF}"/>
    <cellStyle name="Pivot Table Value" xfId="2128" xr:uid="{3B409818-91B4-4048-A867-2D2D00C2508E}"/>
    <cellStyle name="Pivot Table Value 2" xfId="2129" xr:uid="{04A37E8F-93B3-4C87-B38A-4F8D2A506E60}"/>
    <cellStyle name="Pivot Table Value 2 2" xfId="2130" xr:uid="{9FA195F5-BD90-4C76-8FCE-9E2E45CE53B8}"/>
    <cellStyle name="Pivot Table Value 2 3" xfId="2480" xr:uid="{EF896841-3025-4647-8868-FE0029A09073}"/>
    <cellStyle name="Pivot Table Value 3" xfId="2131" xr:uid="{4253B16B-2463-40EB-A91B-DDC9E38CDCBF}"/>
    <cellStyle name="Pivot Table Value 3 2" xfId="2132" xr:uid="{21FAE84E-219B-4949-AA00-F45860FBF590}"/>
    <cellStyle name="Procentowy 2" xfId="2133" xr:uid="{82BEB2DA-7DA9-4581-924F-310357E47D18}"/>
    <cellStyle name="Procentowy 2 2" xfId="2134" xr:uid="{8F72D913-E35B-41D4-933E-46B695BEFE2D}"/>
    <cellStyle name="Procentowy 2 3" xfId="2135" xr:uid="{0A20FE87-9690-477E-B9BC-BBADFA545CA4}"/>
    <cellStyle name="Procentowy 2 3 2" xfId="2379" xr:uid="{90D53007-097C-4DF1-9620-5D80D6983BF4}"/>
    <cellStyle name="Procentowy 2_CENA" xfId="2136" xr:uid="{0ACCE179-C0EC-42AE-850E-80D8019C2A96}"/>
    <cellStyle name="Result" xfId="2137" xr:uid="{D7D8D2F6-37D5-4F9A-9327-369DC0AAE297}"/>
    <cellStyle name="Result 1" xfId="3542" xr:uid="{459B00B6-1C6F-406E-8E55-4F7D0617CAA5}"/>
    <cellStyle name="Result_slownik" xfId="3617" xr:uid="{C0772E1F-3FFD-4AE2-993F-7A8F5E541832}"/>
    <cellStyle name="Result2" xfId="2138" xr:uid="{954E9B3E-0CBB-4122-A2CE-9F53B6B8D205}"/>
    <cellStyle name="Schlecht" xfId="2139" xr:uid="{C9C21060-D10E-4204-A16D-F3D664B96802}"/>
    <cellStyle name="Sheet Title" xfId="2140" xr:uid="{282FA1E8-5BF0-4249-9071-4D6A285C9FB7}"/>
    <cellStyle name="Standaard 13" xfId="2141" xr:uid="{53ECDA97-A165-4633-A7A0-0EB44E74A5C3}"/>
    <cellStyle name="Standaard 2" xfId="2142" xr:uid="{BB26F6CB-80B1-4B04-9F43-DEF51DE51903}"/>
    <cellStyle name="Standaard 2 2" xfId="2143" xr:uid="{75C8A20A-EB01-45F2-A09C-065CC41D5982}"/>
    <cellStyle name="Standaard 2 3" xfId="2144" xr:uid="{224F4D0B-FF6D-4583-B40E-898BC2B9D50B}"/>
    <cellStyle name="Standaard 3" xfId="2145" xr:uid="{DA25D342-6517-4885-BD90-C88352B3FC7A}"/>
    <cellStyle name="Standaard 3 2" xfId="2146" xr:uid="{B0BE24FD-010A-4F84-9D69-EE1BA418064E}"/>
    <cellStyle name="Standaard 3 3" xfId="2147" xr:uid="{5D3F5E2C-FBC7-43C0-8E23-6F6D326A1E05}"/>
    <cellStyle name="Standaard 3_IMPORT" xfId="3543" xr:uid="{954E591B-07ED-436B-9B6F-332BA047DBB5}"/>
    <cellStyle name="Standaard 4" xfId="2148" xr:uid="{BBA61B29-52AD-4F49-93A3-023C3BF84624}"/>
    <cellStyle name="Standaard 7" xfId="2149" xr:uid="{D81B3177-9600-4317-945F-5B78BC6EC210}"/>
    <cellStyle name="Standaard_Blad1" xfId="2150" xr:uid="{55B6A83F-A2A2-43BA-969F-94BDD067099D}"/>
    <cellStyle name="Standard 2" xfId="2151" xr:uid="{278F5151-375F-4C4D-BE68-5BB80881F59D}"/>
    <cellStyle name="Standard 2 2" xfId="2152" xr:uid="{79729F98-4DB0-4A4B-B00C-8F74BB784BD5}"/>
    <cellStyle name="Standard 2 3" xfId="2153" xr:uid="{32E41FA8-EDEF-46F0-B1CF-4FDD84995452}"/>
    <cellStyle name="Standard 2 4" xfId="2154" xr:uid="{06B97CAB-1C5B-41D4-8C82-953CD066EFB3}"/>
    <cellStyle name="Standard 3" xfId="2155" xr:uid="{C04D5F29-FD05-46E4-9745-007FD010E83C}"/>
    <cellStyle name="Status" xfId="2156" xr:uid="{FDA0BEAA-E801-4126-BC3A-632CA40B6463}"/>
    <cellStyle name="Status 7" xfId="2157" xr:uid="{09FB6597-3986-4ABB-96D2-25A383FE01F7}"/>
    <cellStyle name="Status_PROD" xfId="3544" xr:uid="{0D11A149-D67E-44A5-BE32-76D03B272DC1}"/>
    <cellStyle name="Suma" xfId="3545" xr:uid="{AD3437F7-36E6-49BA-A053-DD12473FA6C4}"/>
    <cellStyle name="Suma 2" xfId="2158" xr:uid="{98E88E72-F0A4-4F49-B87A-BD010B3985E9}"/>
    <cellStyle name="Suma 2 2" xfId="2159" xr:uid="{D5ABB728-E96D-4C7C-B443-DD01A9DB6207}"/>
    <cellStyle name="Suma 2 3" xfId="2160" xr:uid="{66833272-0447-4D5B-8AC8-0E359FEDC0A9}"/>
    <cellStyle name="Suma 2 4" xfId="2161" xr:uid="{6DCD5FA4-5C55-40E6-B91A-CC5CFBB2B2E5}"/>
    <cellStyle name="Suma 3" xfId="2162" xr:uid="{F77E1EA9-FE97-4961-8F96-C9AD321D6F9F}"/>
    <cellStyle name="Suma 4" xfId="2163" xr:uid="{DA052F57-208D-482D-84EB-D9E22CD1A03C}"/>
    <cellStyle name="Suma 5" xfId="2164" xr:uid="{C93A7652-4518-406D-846E-27DB43BDFBAB}"/>
    <cellStyle name="Suma_Arkusz1" xfId="3546" xr:uid="{32377D5F-2C54-45CD-88BF-1241E9D3739B}"/>
    <cellStyle name="Tabellenvorlage Cosiflor" xfId="2165" xr:uid="{E09DB8A9-BFDE-4BC0-9B34-8AC1E6EC2AE8}"/>
    <cellStyle name="Tekst obja?nienia" xfId="2166" xr:uid="{3AFF4E44-256F-4B99-AEC6-692B83DF8195}"/>
    <cellStyle name="Tekst objaśnienia" xfId="3547" xr:uid="{84D2AD97-D0C5-43AD-A925-DD7A70AB9C10}"/>
    <cellStyle name="Tekst objaśnienia 2" xfId="2167" xr:uid="{161858FE-6E44-4422-A66A-24F79CC8C20D}"/>
    <cellStyle name="Tekst objaśnienia 2 2" xfId="2168" xr:uid="{2279F9BC-DBCD-49B6-926F-CD3B810DFC56}"/>
    <cellStyle name="Tekst objaśnienia 2 2 2" xfId="2380" xr:uid="{D0BF90BB-D1B2-4CC2-B826-D3D8A9E0C90A}"/>
    <cellStyle name="Tekst objaśnienia 2 3" xfId="2169" xr:uid="{9519721C-5ED0-4AAB-B4DA-0ECA094577A4}"/>
    <cellStyle name="Tekst objaśnienia 2 4" xfId="2170" xr:uid="{3CF51649-35C7-4BE9-AC79-A4C5B4DF9998}"/>
    <cellStyle name="Tekst objaśnienia 2_IMPORT" xfId="2171" xr:uid="{3D10FFC8-8B82-43BF-BEFD-4DDCBAAEEE02}"/>
    <cellStyle name="Tekst objaśnienia 3" xfId="2172" xr:uid="{1905D883-B16F-4C2B-A539-D380EBC41038}"/>
    <cellStyle name="Tekst objaśnienia 4" xfId="2173" xr:uid="{2B417D53-941A-4956-9678-96852CA5759A}"/>
    <cellStyle name="Tekst objaśnienia 5" xfId="2174" xr:uid="{57BBA385-24C5-4E98-B6D6-3FA990A26726}"/>
    <cellStyle name="Tekst objaśnienia_Arkusz1" xfId="3548" xr:uid="{B2CFE8E7-A4D5-408A-81B6-BE698A7876DB}"/>
    <cellStyle name="Tekst ostrze?enia" xfId="2175" xr:uid="{9A512B60-31A4-4AF4-B20C-C07EF91AFBD8}"/>
    <cellStyle name="Tekst ostrzeżenia" xfId="3549" xr:uid="{5A3892C0-E157-4195-BA0B-C6391B896F01}"/>
    <cellStyle name="Tekst ostrzeżenia 2" xfId="2176" xr:uid="{B5870A0B-C2B0-4A72-B315-A855109996A0}"/>
    <cellStyle name="Tekst ostrzeżenia 2 2" xfId="2177" xr:uid="{3F090164-3C94-4355-96EA-28266EE0EB46}"/>
    <cellStyle name="Tekst ostrzeżenia 2 3" xfId="2178" xr:uid="{DC32F5D3-B370-4B93-A7FA-2C77499D2BB0}"/>
    <cellStyle name="Tekst ostrzeżenia 3" xfId="2179" xr:uid="{547D5FBD-24D4-4F86-B24E-44916663AE5B}"/>
    <cellStyle name="Tekst ostrzeżenia 4" xfId="2180" xr:uid="{47A1419A-487A-4D8D-927E-B6FFD0564FE0}"/>
    <cellStyle name="Tekst ostrzeżenia 5" xfId="2181" xr:uid="{E2FF9ACC-B4ED-409C-858F-10FBADB0B366}"/>
    <cellStyle name="Tekst ostrzeżenia_Arkusz1" xfId="3550" xr:uid="{A2BBEDE4-121A-4548-B803-8B583B4275BA}"/>
    <cellStyle name="Text" xfId="2182" xr:uid="{DA1A83EF-A23D-4DA4-95AA-CCC89108776D}"/>
    <cellStyle name="Text 3" xfId="2183" xr:uid="{94879B92-C92E-40F5-8998-8DE0E04DAF68}"/>
    <cellStyle name="Text_PROD" xfId="3551" xr:uid="{6BA53BEB-3AA1-4903-BFDF-0BAF7C227BFE}"/>
    <cellStyle name="Titel" xfId="3552" xr:uid="{FE09D16E-CAB5-475F-B775-516282B11F4A}"/>
    <cellStyle name="Title" xfId="2184" xr:uid="{C09F52F5-BB8E-4DC2-83F7-5FF5F4848608}"/>
    <cellStyle name="Totaal" xfId="2185" xr:uid="{54A942D0-D66F-4EE3-B0E1-32DD17A6AC1B}"/>
    <cellStyle name="Totaal 2" xfId="2186" xr:uid="{1DAE3918-A299-494E-8B6D-85CEB5E909A2}"/>
    <cellStyle name="Total" xfId="2187" xr:uid="{FB3C63A4-0E74-4506-BA58-DE15407AC725}"/>
    <cellStyle name="Total 2" xfId="2188" xr:uid="{8B698B64-1E92-4C74-93B1-15C07461C3AB}"/>
    <cellStyle name="Total 2 2" xfId="2381" xr:uid="{A406A20D-1E0E-4437-9ACC-3CCBD9883B44}"/>
    <cellStyle name="Total_Additional price" xfId="2189" xr:uid="{3B427AFB-CC28-452E-B300-F8A0BC402B9C}"/>
    <cellStyle name="Tytu?" xfId="2190" xr:uid="{1E920BB1-0AB8-4190-BC06-DEE0A512DF03}"/>
    <cellStyle name="Tytuł" xfId="3553" xr:uid="{B2794A98-5A65-4E11-8E9A-4D4B0AA634AF}"/>
    <cellStyle name="Tytuł 2" xfId="2191" xr:uid="{463A2576-8D78-40E7-AB00-3559F66A45C1}"/>
    <cellStyle name="Tytuł 2 2" xfId="2192" xr:uid="{C6DCCFD3-0ED5-4B11-BB86-4BEA7E051F46}"/>
    <cellStyle name="Tytuł 2 3" xfId="2193" xr:uid="{42D08E76-DCBD-4E89-B13F-06AB2CC2A9B1}"/>
    <cellStyle name="Tytuł 2 4" xfId="2194" xr:uid="{E194701C-60F0-4B45-B871-1A0A54DFBCF7}"/>
    <cellStyle name="Tytuł 3" xfId="2195" xr:uid="{A4CA1955-4E54-423C-A085-7C1915A85DDC}"/>
    <cellStyle name="Tytuł 4" xfId="2196" xr:uid="{E286A39E-91C7-4150-8613-D2C370E27A0C}"/>
    <cellStyle name="Tytuł 4 2" xfId="2197" xr:uid="{1160E9DB-A256-4F45-A32C-CFE8E913EF85}"/>
    <cellStyle name="Tytuł_d" xfId="3554" xr:uid="{047DDEE5-7737-4DB8-A48B-E90DA9E09050}"/>
    <cellStyle name="Überschrift" xfId="2198" xr:uid="{08BA285B-8A8E-4153-8B4C-74E7D1FD6718}"/>
    <cellStyle name="Überschrift 1" xfId="2199" xr:uid="{337AFFF4-DEA7-4BA2-8A20-FD713983BF6C}"/>
    <cellStyle name="Überschrift 2" xfId="2200" xr:uid="{BDF347D6-B5AC-4702-B33D-8F6EAA8166DE}"/>
    <cellStyle name="Überschrift 3" xfId="2201" xr:uid="{7ED62542-8B98-4C1F-B05F-6FAA4A8652DD}"/>
    <cellStyle name="Überschrift 3 2" xfId="2202" xr:uid="{AF1EB006-3B51-467C-BDF4-943A29E6B396}"/>
    <cellStyle name="Überschrift 4" xfId="2203" xr:uid="{565CFD13-6B37-415C-9F91-BCC573E50E75}"/>
    <cellStyle name="Überschrift_EL" xfId="2204" xr:uid="{00B7F23B-A6FA-42E6-B177-9E93A0D170FB}"/>
    <cellStyle name="Uitvoer" xfId="2205" xr:uid="{D3DC02A4-3C9C-49FE-9D1F-8C92F893D161}"/>
    <cellStyle name="Uitvoer 2" xfId="2206" xr:uid="{6588C86A-CE08-48F5-92B7-2ECFFB29A866}"/>
    <cellStyle name="Uwaga" xfId="3555" xr:uid="{A304789D-D4A4-44F1-B78C-AE95A28DAE6D}"/>
    <cellStyle name="Uwaga 2" xfId="2207" xr:uid="{D8444229-90A0-4163-8377-3BB23C4533EA}"/>
    <cellStyle name="Uwaga 2 2" xfId="2208" xr:uid="{9D5378B5-0D88-4A0C-96A8-025EC4669251}"/>
    <cellStyle name="Uwaga 2 2 2" xfId="2382" xr:uid="{FDC4C85A-EF6C-49CA-9E6B-016CABAEA1DD}"/>
    <cellStyle name="Uwaga 2 3" xfId="2209" xr:uid="{EBED7B50-9512-4005-977C-E1EF56283B61}"/>
    <cellStyle name="Uwaga 2 4" xfId="2210" xr:uid="{05F1B439-3540-48D4-9014-E5F10195F30B}"/>
    <cellStyle name="Uwaga 3" xfId="2211" xr:uid="{4789A56E-4146-48E6-BF58-7288901E0D68}"/>
    <cellStyle name="Uwaga 4" xfId="2212" xr:uid="{7938E3F5-5319-44AB-8078-D8C1ADABB716}"/>
    <cellStyle name="Uwaga_d" xfId="3556" xr:uid="{F198B542-B2EC-4E1D-9693-52402229B812}"/>
    <cellStyle name="Verklarende tekst" xfId="2213" xr:uid="{9D327A32-6717-46F2-995C-EDDDC61D8359}"/>
    <cellStyle name="Verknüpfte Zelle" xfId="2214" xr:uid="{D69EFECB-433A-4FD1-9948-9FBA2BBA13C8}"/>
    <cellStyle name="Waarschuwingstekst" xfId="2215" xr:uid="{267EDC59-2C98-4806-892E-A41F8D7DF950}"/>
    <cellStyle name="Währung 2" xfId="2216" xr:uid="{81BC0704-209C-4637-8BB0-70297FD4A00D}"/>
    <cellStyle name="Währung 2 2" xfId="2217" xr:uid="{187862D7-A79C-4834-8846-5B9ED1BCBE55}"/>
    <cellStyle name="Währung 2 2 2" xfId="2218" xr:uid="{9F88D8AC-854D-4EE8-8F68-7D02B3C6192B}"/>
    <cellStyle name="Währung 2 2 2 2" xfId="2219" xr:uid="{8C287B4E-E017-4DBC-9231-3A8ECB848451}"/>
    <cellStyle name="Währung 2 2 2 2 2" xfId="3316" xr:uid="{083E364C-84DE-427D-BD81-EB51DDB07161}"/>
    <cellStyle name="Währung 2 2 2 3" xfId="3314" xr:uid="{558D7F25-0F12-4BBE-B33D-539FE20BA111}"/>
    <cellStyle name="Währung 2 2 3" xfId="2427" xr:uid="{7DE4B869-8BAB-4A63-8CB4-F71240A40BA0}"/>
    <cellStyle name="Währung 2 3" xfId="2220" xr:uid="{72DE7C9D-4F2C-4DDD-BFAF-74EB6F9CFFA2}"/>
    <cellStyle name="Währung 2 3 2" xfId="2221" xr:uid="{6380F786-7C8E-4A2B-BC7D-0FC2009B7E4F}"/>
    <cellStyle name="Währung 2 3 2 2" xfId="2222" xr:uid="{E4EF3CF9-2C7A-41BF-B943-279EF7BC8011}"/>
    <cellStyle name="Währung 2 3 2 2 2" xfId="3315" xr:uid="{DC90C53A-0137-4493-8A57-9F202536D304}"/>
    <cellStyle name="Währung 2 3 2 3" xfId="3313" xr:uid="{163CCF5A-93F6-444F-B047-1FFDCEDEEBB7}"/>
    <cellStyle name="Währung 2 3 3" xfId="2401" xr:uid="{46CABB2B-AAF2-47D9-81B8-B8FBB4085BF3}"/>
    <cellStyle name="Währung 2 4" xfId="2223" xr:uid="{C28F3B38-657F-4B14-8C30-BDAE9D5763BB}"/>
    <cellStyle name="Währung 2_IMPORT" xfId="2224" xr:uid="{07F9A13F-6E36-4E27-8055-6BD16FCA7976}"/>
    <cellStyle name="Warnender Text" xfId="2225" xr:uid="{07A0C5AB-B588-498E-B341-30E7177FE891}"/>
    <cellStyle name="Warning" xfId="2226" xr:uid="{BC1DCE45-AEBE-4B93-920D-D06E1C8FE647}"/>
    <cellStyle name="Warning 11" xfId="2227" xr:uid="{D9E62968-3867-42D8-A412-EB1955A378BD}"/>
    <cellStyle name="Warning Text" xfId="2228" xr:uid="{B05AB85B-4A35-419B-BB76-312FD4578CBA}"/>
    <cellStyle name="Warning Text 2" xfId="2229" xr:uid="{37086A52-982B-407F-98E3-50A862579BD7}"/>
    <cellStyle name="Warning Text_Additional price" xfId="2230" xr:uid="{CE8E3E50-B035-440A-A036-DE543B6BDED6}"/>
    <cellStyle name="Warning_PROD" xfId="3557" xr:uid="{BD6877E0-1878-4E47-97CF-5447827EB8F5}"/>
    <cellStyle name="Wynik2" xfId="3558" xr:uid="{678DDCE4-6AEA-4107-A9B1-1A957F9B700B}"/>
    <cellStyle name="Z?e" xfId="2231" xr:uid="{8370EA65-8101-4055-9D6B-52E0A914C9CC}"/>
    <cellStyle name="Zelle überprüfen" xfId="2232" xr:uid="{8DE637EC-2658-4F07-9DD7-74A07632F167}"/>
    <cellStyle name="Złe" xfId="2233" xr:uid="{2C1AC95D-9816-4890-9AC0-D9C6592D0684}"/>
    <cellStyle name="Złe 2" xfId="2234" xr:uid="{3E728DDF-A68E-40BC-B099-320B686DCF33}"/>
    <cellStyle name="Złe 3" xfId="2235" xr:uid="{1249BCA0-3529-427E-A960-FFF7E37270C5}"/>
    <cellStyle name="Złe 4" xfId="2236" xr:uid="{F9CA307C-D1FF-4603-8B57-19ED9DA6C39F}"/>
    <cellStyle name="Złe 5" xfId="2237" xr:uid="{240BA388-537C-4928-B689-9C9965B86608}"/>
    <cellStyle name="Złe_03ceny39" xfId="2471" xr:uid="{000C0168-0156-4E19-8806-725717969287}"/>
    <cellStyle name="Zły" xfId="2238" xr:uid="{23763D03-47E9-482C-BD7B-75024D5B6F2D}"/>
    <cellStyle name="Zły 2" xfId="2239" xr:uid="{0952D93F-287F-496C-93D0-E426F12C2166}"/>
    <cellStyle name="Zły 3" xfId="2240" xr:uid="{F958BAE3-669E-49FE-94C5-074E96BC2CDD}"/>
    <cellStyle name="Zły 4" xfId="2241" xr:uid="{9AE7941F-1F38-4FD5-94B6-02A715650B34}"/>
    <cellStyle name="Zły_IMPORT" xfId="3331" xr:uid="{68347BC6-DA23-41BA-8C4F-677E82EA9500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BX41"/>
  <sheetViews>
    <sheetView tabSelected="1" zoomScale="85" zoomScaleNormal="85" workbookViewId="0">
      <pane ySplit="1" topLeftCell="A2" activePane="bottomLeft" state="frozen"/>
      <selection pane="bottomLeft" activeCell="A19" sqref="A19"/>
    </sheetView>
  </sheetViews>
  <sheetFormatPr defaultRowHeight="15"/>
  <cols>
    <col min="1" max="1" bestFit="true" customWidth="true" style="58" width="18.0" collapsed="false"/>
    <col min="2" max="2" bestFit="true" customWidth="true" width="25.5703125" collapsed="false"/>
    <col min="3" max="3" bestFit="true" customWidth="true" style="58" width="19.85546875" collapsed="false"/>
    <col min="4" max="4" bestFit="true" customWidth="true" width="9.7109375" collapsed="false"/>
    <col min="5" max="5" bestFit="true" customWidth="true" style="58" width="24.0" collapsed="true"/>
    <col min="6" max="6" bestFit="true" customWidth="true" width="5.42578125" collapsed="false"/>
    <col min="7" max="7" bestFit="true" customWidth="true" width="10.140625" collapsed="false"/>
    <col min="8" max="8" bestFit="true" customWidth="true" width="5.28515625" collapsed="false"/>
    <col min="9" max="9" bestFit="true" customWidth="true" width="10.0" collapsed="true"/>
    <col min="10" max="10" bestFit="true" customWidth="true" style="58" width="53.7109375" collapsed="false"/>
    <col min="11" max="11" bestFit="true" customWidth="true" width="9.7109375" collapsed="false"/>
    <col min="12" max="12" bestFit="true" customWidth="true" width="8.0" collapsed="false"/>
    <col min="13" max="13" customWidth="true" width="4.140625" collapsed="false"/>
    <col min="14" max="14" bestFit="true" customWidth="true" style="58" width="16.140625" collapsed="false"/>
    <col min="15" max="15" bestFit="true" customWidth="true" width="7.85546875" collapsed="false"/>
    <col min="16" max="16" bestFit="true" customWidth="true" style="58" width="19.28515625" collapsed="false"/>
    <col min="17" max="17" bestFit="true" customWidth="true" width="71.28515625" collapsed="false"/>
    <col min="18" max="18" bestFit="true" customWidth="true" style="58" width="15.28515625" collapsed="true"/>
    <col min="19" max="19" bestFit="true" customWidth="true" width="11.140625" collapsed="true"/>
    <col min="20" max="20" bestFit="true" customWidth="true" style="58" width="10.7109375" collapsed="false"/>
    <col min="21" max="21" bestFit="true" customWidth="true" width="6.140625" collapsed="false"/>
    <col min="22" max="22" bestFit="true" customWidth="true" width="6.5703125" collapsed="false"/>
    <col min="23" max="23" customWidth="true" width="4.5703125" collapsed="false"/>
    <col min="24" max="24" bestFit="true" customWidth="true" width="20.5703125" collapsed="false"/>
    <col min="25" max="25" bestFit="true" customWidth="true" width="42.5703125" collapsed="false"/>
    <col min="26" max="26" bestFit="true" customWidth="true" width="9.5703125" collapsed="false"/>
    <col min="27" max="27" bestFit="true" customWidth="true" width="10.28515625" collapsed="false"/>
    <col min="28" max="28" bestFit="true" customWidth="true" width="75.7109375" collapsed="false"/>
    <col min="29" max="29" bestFit="true" customWidth="true" width="18.140625" collapsed="false"/>
    <col min="30" max="30" bestFit="true" customWidth="true" width="13.5703125" collapsed="false"/>
    <col min="31" max="31" bestFit="true" customWidth="true" width="18.7109375" collapsed="false"/>
    <col min="32" max="32" bestFit="true" customWidth="true" width="13.85546875" collapsed="false"/>
    <col min="33" max="33" bestFit="true" customWidth="true" width="19.140625" collapsed="false"/>
    <col min="34" max="34" bestFit="true" customWidth="true" width="12.28515625" collapsed="false"/>
    <col min="35" max="36" bestFit="true" customWidth="true" width="17.7109375" collapsed="false"/>
    <col min="37" max="37" bestFit="true" customWidth="true" width="12.7109375" collapsed="false"/>
    <col min="38" max="38" bestFit="true" customWidth="true" width="70.85546875" collapsed="false"/>
    <col min="39" max="39" customWidth="true" width="9.42578125" collapsed="false"/>
    <col min="40" max="40" bestFit="true" customWidth="true" width="29.42578125" collapsed="false"/>
    <col min="41" max="41" bestFit="true" customWidth="true" width="57.5703125" collapsed="false"/>
    <col min="42" max="42" bestFit="true" customWidth="true" width="19.5703125" collapsed="false"/>
    <col min="43" max="43" bestFit="true" customWidth="true" width="35.28515625" collapsed="false"/>
    <col min="44" max="44" bestFit="true" customWidth="true" width="10.85546875" collapsed="false"/>
    <col min="45" max="45" bestFit="true" customWidth="true" width="23.85546875" collapsed="false"/>
    <col min="46" max="46" bestFit="true" customWidth="true" width="27.0" collapsed="false"/>
    <col min="47" max="47" bestFit="true" customWidth="true" width="13.28515625" collapsed="false"/>
    <col min="48" max="48" bestFit="true" customWidth="true" width="18.5703125" collapsed="false"/>
    <col min="50" max="50" bestFit="true" customWidth="true" width="29.42578125" collapsed="false"/>
    <col min="51" max="51" bestFit="true" customWidth="true" width="34.85546875" collapsed="false"/>
    <col min="52" max="52" bestFit="true" customWidth="true" width="8.85546875" collapsed="false"/>
    <col min="53" max="53" bestFit="true" customWidth="true" width="18.28515625" collapsed="false"/>
    <col min="55" max="55" bestFit="true" customWidth="true" width="13.140625" collapsed="false"/>
    <col min="56" max="56" bestFit="true" customWidth="true" width="29.0" collapsed="false"/>
    <col min="57" max="57" bestFit="true" customWidth="true" width="4.7109375" collapsed="false"/>
    <col min="59" max="59" bestFit="true" customWidth="true" width="15.42578125" collapsed="false"/>
    <col min="60" max="60" bestFit="true" customWidth="true" width="55.7109375" collapsed="false"/>
    <col min="61" max="61" bestFit="true" customWidth="true" width="4.140625" collapsed="false"/>
    <col min="63" max="63" bestFit="true" customWidth="true" width="11.28515625" collapsed="false"/>
    <col min="64" max="64" bestFit="true" customWidth="true" width="27.42578125" collapsed="false"/>
    <col min="65" max="65" bestFit="true" customWidth="true" width="4.140625" collapsed="false"/>
    <col min="67" max="67" bestFit="true" customWidth="true" width="19.0" collapsed="false"/>
    <col min="68" max="68" bestFit="true" customWidth="true" width="24.28515625" collapsed="false"/>
    <col min="69" max="69" bestFit="true" customWidth="true" width="4.28515625" collapsed="false"/>
    <col min="71" max="71" bestFit="true" customWidth="true" width="27.140625" collapsed="false"/>
    <col min="72" max="72" bestFit="true" customWidth="true" width="32.42578125" collapsed="false"/>
    <col min="73" max="73" bestFit="true" customWidth="true" width="19.5703125" collapsed="false"/>
    <col min="74" max="74" bestFit="true" customWidth="true" width="24.85546875" collapsed="false"/>
    <col min="75" max="75" bestFit="true" customWidth="true" width="10.85546875" collapsed="false"/>
    <col min="76" max="76" bestFit="true" customWidth="true" width="23.85546875" collapsed="false"/>
  </cols>
  <sheetData>
    <row r="1" spans="1:76" ht="15.75" thickBot="1">
      <c r="A1" s="75" t="s">
        <v>46</v>
      </c>
      <c r="B1" s="6"/>
      <c r="C1" s="74" t="s">
        <v>47</v>
      </c>
      <c r="D1" s="10"/>
      <c r="E1" s="71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68" t="s">
        <v>80</v>
      </c>
      <c r="K1" s="18" t="s">
        <v>81</v>
      </c>
      <c r="L1" s="19" t="s">
        <v>82</v>
      </c>
      <c r="N1" s="66" t="s">
        <v>45</v>
      </c>
      <c r="O1" s="14"/>
      <c r="P1" s="59" t="s">
        <v>44</v>
      </c>
      <c r="Q1" s="13"/>
      <c r="R1" s="56" t="s">
        <v>137</v>
      </c>
      <c r="S1" s="20" t="b">
        <f>$V$2="#24#"</f>
        <v>1</v>
      </c>
      <c r="T1" s="56" t="s">
        <v>165</v>
      </c>
      <c r="U1" s="20" t="b">
        <f>$V$2="#19#"</f>
        <v>0</v>
      </c>
      <c r="V1" s="15" t="s">
        <v>43</v>
      </c>
      <c r="W1" s="1"/>
      <c r="X1" s="54" t="str">
        <f>E3&amp;"-EFOR"</f>
        <v>KONFIGURACJA-EFOR</v>
      </c>
      <c r="Y1" s="54" t="str">
        <f>E3&amp;"_OPIS-EFOR"</f>
        <v>KONFIGURACJA_OPIS-EFOR</v>
      </c>
      <c r="Z1" s="54" t="s">
        <v>124</v>
      </c>
      <c r="AA1" s="54" t="s">
        <v>179</v>
      </c>
      <c r="AB1" s="54" t="s">
        <v>180</v>
      </c>
      <c r="AC1" s="40"/>
      <c r="AD1" s="54" t="s">
        <v>191</v>
      </c>
      <c r="AE1" s="54" t="s">
        <v>380</v>
      </c>
      <c r="AF1" s="54" t="s">
        <v>195</v>
      </c>
      <c r="AG1" s="54" t="s">
        <v>381</v>
      </c>
      <c r="AH1" s="45"/>
      <c r="AI1" s="54" t="s">
        <v>196</v>
      </c>
      <c r="AJ1" s="54" t="s">
        <v>197</v>
      </c>
      <c r="AK1" s="54" t="s">
        <v>203</v>
      </c>
      <c r="AL1" s="54" t="s">
        <v>204</v>
      </c>
      <c r="AM1" s="47"/>
      <c r="AN1" s="52" t="str">
        <f>IF($V$2="#24#",VLOOKUP($F$4,$AD$1:$AG$4,3,FALSE),"-")</f>
        <v>Luxan</v>
      </c>
      <c r="AO1" s="52" t="s">
        <v>205</v>
      </c>
      <c r="AP1" s="52" t="s">
        <v>206</v>
      </c>
      <c r="AQ1" s="52" t="s">
        <v>207</v>
      </c>
      <c r="AS1" s="52" t="s">
        <v>219</v>
      </c>
      <c r="AT1" s="52" t="s">
        <v>220</v>
      </c>
      <c r="AU1" s="52" t="s">
        <v>221</v>
      </c>
      <c r="AV1" s="53" t="s">
        <v>222</v>
      </c>
      <c r="AW1" s="46"/>
      <c r="AX1" s="51" t="s">
        <v>239</v>
      </c>
      <c r="AY1" s="51" t="s">
        <v>240</v>
      </c>
      <c r="AZ1" s="51" t="s">
        <v>241</v>
      </c>
      <c r="BA1" s="51" t="s">
        <v>242</v>
      </c>
      <c r="BB1" s="50"/>
      <c r="BC1" s="51" t="s">
        <v>251</v>
      </c>
      <c r="BD1" s="51" t="s">
        <v>252</v>
      </c>
      <c r="BE1" s="51"/>
      <c r="BG1" s="51" t="s">
        <v>297</v>
      </c>
      <c r="BH1" s="51" t="s">
        <v>298</v>
      </c>
      <c r="BI1" s="51"/>
      <c r="BK1" s="51" t="s">
        <v>332</v>
      </c>
      <c r="BL1" s="51" t="s">
        <v>333</v>
      </c>
      <c r="BM1" s="51"/>
      <c r="BO1" s="51" t="s">
        <v>354</v>
      </c>
      <c r="BP1" s="51" t="s">
        <v>355</v>
      </c>
      <c r="BQ1" s="51"/>
      <c r="BS1" s="51" t="s">
        <v>362</v>
      </c>
      <c r="BT1" s="51" t="s">
        <v>363</v>
      </c>
      <c r="BU1" s="51" t="s">
        <v>366</v>
      </c>
      <c r="BV1" s="51" t="s">
        <v>367</v>
      </c>
      <c r="BW1" s="51" t="s">
        <v>372</v>
      </c>
      <c r="BX1" s="51" t="s">
        <v>375</v>
      </c>
    </row>
    <row r="2" spans="1:76">
      <c r="A2" s="57" t="s">
        <v>27</v>
      </c>
      <c r="B2" s="3" t="s">
        <v>387</v>
      </c>
      <c r="C2" s="57" t="s">
        <v>71</v>
      </c>
      <c r="D2" s="3" t="n">
        <v>24.0</v>
      </c>
      <c r="E2" s="57" t="s">
        <v>1</v>
      </c>
      <c r="F2" s="2" t="n">
        <v>1.0</v>
      </c>
      <c r="G2" s="2" t="s">
        <v>174</v>
      </c>
      <c r="H2" s="2" t="s">
        <v>174</v>
      </c>
      <c r="I2" s="2" t="s">
        <v>174</v>
      </c>
      <c r="J2" s="69" t="s">
        <v>398</v>
      </c>
      <c r="K2" s="2" t="n">
        <v>1.0</v>
      </c>
      <c r="L2" s="3" t="n">
        <v>0.0</v>
      </c>
      <c r="N2" s="61" t="s">
        <v>107</v>
      </c>
      <c r="O2" s="27" t="str">
        <f>IF($B$11="Cozy","05",IF($B$11="HKL","04",IF($B$11="LuxanGmbH","03",IF($B$11="FENIX","02",IF($B$11="LuxanEwaKrawczyk","01","00")))))</f>
        <v>04</v>
      </c>
      <c r="P2" s="60" t="s">
        <v>66</v>
      </c>
      <c r="Q2" s="31" t="str">
        <f><![CDATA["EO/"&$B$10&"/"&D4&"/"&$B$6&"-"&$D$7]]></f>
        <v>EO/28/1/1821ALL-&lt;NULL&gt;</v>
      </c>
      <c r="R2" s="57" t="s">
        <v>139</v>
      </c>
      <c r="S2" s="3" t="str">
        <f>IF($V$2="#24#",VLOOKUP($F$3,$X$1:$AA$4,4,FALSE),"-")</f>
        <v>K2</v>
      </c>
      <c r="T2" s="57" t="s">
        <v>153</v>
      </c>
      <c r="U2" s="3" t="s">
        <v>138</v>
      </c>
      <c r="V2" s="16" t="str">
        <f>VLOOKUP($F$3,$X$1:$Z$5,3,FALSE)</f>
        <v>#24#</v>
      </c>
      <c r="X2" s="39" t="s">
        <v>171</v>
      </c>
      <c r="Y2" s="39" t="s">
        <v>175</v>
      </c>
      <c r="Z2" s="39" t="s">
        <v>178</v>
      </c>
      <c r="AA2" s="39" t="s">
        <v>182</v>
      </c>
      <c r="AB2" s="44" t="s">
        <v>187</v>
      </c>
      <c r="AC2" s="41"/>
      <c r="AD2" s="39" t="s">
        <v>142</v>
      </c>
      <c r="AE2" s="39" t="s">
        <v>194</v>
      </c>
      <c r="AF2" s="39" t="s">
        <v>168</v>
      </c>
      <c r="AG2" s="39" t="s">
        <v>185</v>
      </c>
      <c r="AH2" s="38"/>
      <c r="AI2" s="33">
        <v>3523</v>
      </c>
      <c r="AJ2" s="33" t="s">
        <v>198</v>
      </c>
      <c r="AK2" s="2">
        <v>3523</v>
      </c>
      <c r="AL2" s="2"/>
      <c r="AM2" s="46"/>
      <c r="AN2" s="49" t="s">
        <v>208</v>
      </c>
      <c r="AO2" s="49" t="s">
        <v>209</v>
      </c>
      <c r="AP2" s="49" t="s">
        <v>208</v>
      </c>
      <c r="AQ2" s="49" t="s">
        <v>210</v>
      </c>
      <c r="AR2" s="45"/>
      <c r="AS2" s="49" t="s">
        <v>223</v>
      </c>
      <c r="AT2" s="49" t="s">
        <v>224</v>
      </c>
      <c r="AU2" s="49" t="s">
        <v>225</v>
      </c>
      <c r="AV2" s="39" t="s">
        <v>225</v>
      </c>
      <c r="AW2" s="46"/>
      <c r="AX2" s="2" t="s">
        <v>244</v>
      </c>
      <c r="AY2" s="2" t="s">
        <v>245</v>
      </c>
      <c r="AZ2" s="2" t="s">
        <v>173</v>
      </c>
      <c r="BA2" s="2" t="s">
        <v>246</v>
      </c>
      <c r="BB2" s="50"/>
      <c r="BC2" s="2" t="s">
        <v>253</v>
      </c>
      <c r="BD2" s="2" t="s">
        <v>254</v>
      </c>
      <c r="BE2" s="2" t="s">
        <v>253</v>
      </c>
      <c r="BG2" s="2" t="s">
        <v>299</v>
      </c>
      <c r="BH2" s="2" t="s">
        <v>300</v>
      </c>
      <c r="BI2" s="2" t="s">
        <v>301</v>
      </c>
      <c r="BK2" s="2" t="s">
        <v>334</v>
      </c>
      <c r="BL2" s="2" t="s">
        <v>335</v>
      </c>
      <c r="BM2" s="2" t="s">
        <v>334</v>
      </c>
      <c r="BO2" s="2" t="s">
        <v>356</v>
      </c>
      <c r="BP2" s="2" t="s">
        <v>357</v>
      </c>
      <c r="BQ2" s="2" t="s">
        <v>356</v>
      </c>
      <c r="BS2" s="2" t="s">
        <v>142</v>
      </c>
      <c r="BT2" s="2" t="s">
        <v>364</v>
      </c>
      <c r="BU2" s="2" t="s">
        <v>223</v>
      </c>
      <c r="BV2" s="2" t="s">
        <v>368</v>
      </c>
      <c r="BW2" s="2" t="s">
        <v>208</v>
      </c>
      <c r="BX2" s="2" t="s">
        <v>376</v>
      </c>
    </row>
    <row r="3" spans="1:76">
      <c r="A3" s="57" t="s">
        <v>28</v>
      </c>
      <c r="B3" s="3" t="s">
        <v>103</v>
      </c>
      <c r="C3" s="57" t="s">
        <v>30</v>
      </c>
      <c r="D3" s="3" t="s">
        <v>174</v>
      </c>
      <c r="E3" s="57" t="s">
        <v>114</v>
      </c>
      <c r="F3" s="2" t="s">
        <v>171</v>
      </c>
      <c r="G3" s="2" t="s">
        <v>175</v>
      </c>
      <c r="H3" s="2" t="s">
        <v>174</v>
      </c>
      <c r="I3" s="2" t="s">
        <v>174</v>
      </c>
      <c r="J3" s="69" t="s">
        <v>114</v>
      </c>
      <c r="K3" s="2" t="n">
        <v>1.0</v>
      </c>
      <c r="L3" s="3" t="n">
        <v>1.0</v>
      </c>
      <c r="N3" s="61" t="s">
        <v>68</v>
      </c>
      <c r="O3" s="27" t="str">
        <f>B11</f>
        <v>HKL</v>
      </c>
      <c r="P3" s="57" t="s">
        <v>57</v>
      </c>
      <c r="Q3" s="3" t="str">
        <f>$B$15</f>
        <v>NaOkniePL</v>
      </c>
      <c r="R3" s="57" t="s">
        <v>153</v>
      </c>
      <c r="S3" s="3" t="str">
        <f>IF($V$2="#24#",VLOOKUP($F$4,$AD$1:$AG$4,3,FALSE),"-")</f>
        <v>Luxan</v>
      </c>
      <c r="T3" s="57" t="s">
        <v>154</v>
      </c>
      <c r="U3" s="3" t="s">
        <v>138</v>
      </c>
      <c r="X3" s="39" t="s">
        <v>172</v>
      </c>
      <c r="Y3" s="39" t="s">
        <v>176</v>
      </c>
      <c r="Z3" s="39" t="s">
        <v>178</v>
      </c>
      <c r="AA3" s="39" t="s">
        <v>181</v>
      </c>
      <c r="AB3" s="39" t="s">
        <v>184</v>
      </c>
      <c r="AC3" s="41"/>
      <c r="AD3" s="39" t="s">
        <v>192</v>
      </c>
      <c r="AE3" s="39" t="s">
        <v>194</v>
      </c>
      <c r="AF3" s="39" t="s">
        <v>189</v>
      </c>
      <c r="AG3" s="39" t="s">
        <v>190</v>
      </c>
      <c r="AH3" s="45"/>
      <c r="AI3" s="33">
        <v>3524</v>
      </c>
      <c r="AJ3" s="33" t="s">
        <v>198</v>
      </c>
      <c r="AK3" s="2">
        <v>3524</v>
      </c>
      <c r="AL3" s="2"/>
      <c r="AM3" s="46"/>
      <c r="AN3" s="49" t="s">
        <v>211</v>
      </c>
      <c r="AO3" s="49" t="s">
        <v>212</v>
      </c>
      <c r="AP3" s="49" t="s">
        <v>211</v>
      </c>
      <c r="AQ3" s="49" t="s">
        <v>213</v>
      </c>
      <c r="AR3" s="41"/>
      <c r="AS3" s="39" t="s">
        <v>141</v>
      </c>
      <c r="AT3" s="39" t="s">
        <v>226</v>
      </c>
      <c r="AU3" s="39" t="s">
        <v>227</v>
      </c>
      <c r="AV3" s="39" t="s">
        <v>227</v>
      </c>
      <c r="AW3" s="46"/>
      <c r="AX3" s="2" t="s">
        <v>247</v>
      </c>
      <c r="AY3" s="2" t="s">
        <v>248</v>
      </c>
      <c r="AZ3" s="2" t="s">
        <v>249</v>
      </c>
      <c r="BA3" s="2" t="s">
        <v>250</v>
      </c>
      <c r="BB3" s="50"/>
      <c r="BC3" s="2" t="s">
        <v>255</v>
      </c>
      <c r="BD3" s="2" t="s">
        <v>256</v>
      </c>
      <c r="BE3" s="2" t="s">
        <v>255</v>
      </c>
      <c r="BG3" s="2" t="s">
        <v>302</v>
      </c>
      <c r="BH3" s="2" t="s">
        <v>303</v>
      </c>
      <c r="BI3" s="2" t="s">
        <v>302</v>
      </c>
      <c r="BK3" s="2" t="s">
        <v>336</v>
      </c>
      <c r="BL3" s="2" t="s">
        <v>337</v>
      </c>
      <c r="BM3" s="2" t="s">
        <v>336</v>
      </c>
      <c r="BO3" s="2" t="s">
        <v>358</v>
      </c>
      <c r="BP3" s="2" t="s">
        <v>359</v>
      </c>
      <c r="BQ3" s="2" t="s">
        <v>358</v>
      </c>
      <c r="BS3" s="2" t="s">
        <v>181</v>
      </c>
      <c r="BT3" s="2" t="s">
        <v>365</v>
      </c>
      <c r="BU3" s="2" t="s">
        <v>141</v>
      </c>
      <c r="BV3" s="2" t="s">
        <v>369</v>
      </c>
      <c r="BW3" s="2" t="s">
        <v>211</v>
      </c>
      <c r="BX3" s="2" t="s">
        <v>377</v>
      </c>
    </row>
    <row r="4" spans="1:76">
      <c r="A4" s="57" t="s">
        <v>29</v>
      </c>
      <c r="B4" s="21" t="s">
        <v>388</v>
      </c>
      <c r="C4" s="57" t="s">
        <v>76</v>
      </c>
      <c r="D4" s="3" t="n">
        <v>1.0</v>
      </c>
      <c r="E4" s="57" t="s">
        <v>115</v>
      </c>
      <c r="F4" s="2" t="s">
        <v>142</v>
      </c>
      <c r="G4" s="2" t="s">
        <v>406</v>
      </c>
      <c r="H4" s="2" t="s">
        <v>174</v>
      </c>
      <c r="I4" s="2" t="s">
        <v>174</v>
      </c>
      <c r="J4" s="69" t="s">
        <v>115</v>
      </c>
      <c r="K4" s="2" t="n">
        <v>1.0</v>
      </c>
      <c r="L4" s="3" t="n">
        <v>1.0</v>
      </c>
      <c r="N4" s="61" t="s">
        <v>108</v>
      </c>
      <c r="O4" s="27" t="str">
        <f>B15</f>
        <v>NaOkniePL</v>
      </c>
      <c r="P4" s="57" t="s">
        <v>58</v>
      </c>
      <c r="Q4" s="3"/>
      <c r="R4" s="57" t="s">
        <v>154</v>
      </c>
      <c r="S4" s="3" t="str">
        <f>IF($V$2="#24#",VLOOKUP($F$10,$AS$1:$AV$6,3,FALSE),"-")</f>
        <v>Biały</v>
      </c>
      <c r="T4" s="57" t="s">
        <v>147</v>
      </c>
      <c r="U4" s="3" t="s">
        <v>138</v>
      </c>
      <c r="X4" s="39" t="s">
        <v>173</v>
      </c>
      <c r="Y4" s="39" t="s">
        <v>177</v>
      </c>
      <c r="Z4" s="39" t="s">
        <v>178</v>
      </c>
      <c r="AA4" s="39" t="s">
        <v>183</v>
      </c>
      <c r="AB4" s="44" t="s">
        <v>186</v>
      </c>
      <c r="AC4" s="41"/>
      <c r="AD4" s="39" t="s">
        <v>193</v>
      </c>
      <c r="AE4" s="39" t="s">
        <v>194</v>
      </c>
      <c r="AF4" s="39" t="s">
        <v>169</v>
      </c>
      <c r="AG4" s="39" t="s">
        <v>188</v>
      </c>
      <c r="AH4" s="38"/>
      <c r="AI4" s="33">
        <v>3525</v>
      </c>
      <c r="AJ4" s="33" t="s">
        <v>199</v>
      </c>
      <c r="AK4" s="2">
        <v>3525</v>
      </c>
      <c r="AL4" s="2"/>
      <c r="AM4" s="46"/>
      <c r="AN4" s="49" t="s">
        <v>214</v>
      </c>
      <c r="AO4" s="49" t="s">
        <v>215</v>
      </c>
      <c r="AP4" s="49" t="s">
        <v>214</v>
      </c>
      <c r="AQ4" s="39" t="s">
        <v>216</v>
      </c>
      <c r="AR4" s="41"/>
      <c r="AS4" s="39" t="s">
        <v>229</v>
      </c>
      <c r="AT4" s="39" t="s">
        <v>230</v>
      </c>
      <c r="AU4" s="39" t="s">
        <v>231</v>
      </c>
      <c r="AV4" s="39" t="s">
        <v>231</v>
      </c>
      <c r="AW4" s="46"/>
      <c r="AX4" s="43"/>
      <c r="AY4" s="43"/>
      <c r="AZ4" s="43"/>
      <c r="BA4" s="43"/>
      <c r="BB4" s="50"/>
      <c r="BC4" s="2" t="s">
        <v>257</v>
      </c>
      <c r="BD4" s="2" t="s">
        <v>258</v>
      </c>
      <c r="BE4" s="2" t="s">
        <v>257</v>
      </c>
      <c r="BG4" s="2" t="s">
        <v>304</v>
      </c>
      <c r="BH4" s="2" t="s">
        <v>305</v>
      </c>
      <c r="BI4" s="2" t="s">
        <v>304</v>
      </c>
      <c r="BK4" s="2" t="s">
        <v>338</v>
      </c>
      <c r="BL4" s="2" t="s">
        <v>339</v>
      </c>
      <c r="BM4" s="2" t="s">
        <v>338</v>
      </c>
      <c r="BO4" s="2" t="s">
        <v>360</v>
      </c>
      <c r="BP4" s="2" t="s">
        <v>361</v>
      </c>
      <c r="BQ4" s="2" t="s">
        <v>360</v>
      </c>
      <c r="BS4" s="2" t="s">
        <v>142</v>
      </c>
      <c r="BT4" s="2" t="s">
        <v>364</v>
      </c>
      <c r="BU4" s="2" t="s">
        <v>370</v>
      </c>
      <c r="BV4" s="2" t="s">
        <v>371</v>
      </c>
      <c r="BW4" s="2" t="s">
        <v>373</v>
      </c>
      <c r="BX4" s="2" t="s">
        <v>378</v>
      </c>
    </row>
    <row r="5" spans="1:76">
      <c r="A5" s="57" t="s">
        <v>30</v>
      </c>
      <c r="B5" s="3" t="s">
        <v>174</v>
      </c>
      <c r="C5" s="57" t="s">
        <v>77</v>
      </c>
      <c r="D5" s="3" t="n">
        <v>2905.0</v>
      </c>
      <c r="E5" s="57" t="s">
        <v>2</v>
      </c>
      <c r="F5" s="2" t="s">
        <v>174</v>
      </c>
      <c r="G5" s="2" t="s">
        <v>174</v>
      </c>
      <c r="H5" s="2" t="s">
        <v>174</v>
      </c>
      <c r="I5" s="2" t="s">
        <v>174</v>
      </c>
      <c r="J5" s="69" t="s">
        <v>2</v>
      </c>
      <c r="K5" s="2" t="n">
        <v>0.0</v>
      </c>
      <c r="L5" s="3" t="n">
        <v>1.0</v>
      </c>
      <c r="N5" s="57" t="s">
        <v>67</v>
      </c>
      <c r="O5" s="3" t="str">
        <f>B15&amp;"-"&amp;B10</f>
        <v>NaOkniePL-28</v>
      </c>
      <c r="P5" s="57" t="s">
        <v>59</v>
      </c>
      <c r="Q5" s="3"/>
      <c r="R5" s="57" t="s">
        <v>147</v>
      </c>
      <c r="S5" s="3" t="e">
        <f>IF($V$2="#24#",VLOOKUP($F$5,$AN$1:$AQ$5,3,FALSE),"-")</f>
        <v>#N/A</v>
      </c>
      <c r="T5" s="57" t="s">
        <v>146</v>
      </c>
      <c r="U5" s="3" t="s">
        <v>138</v>
      </c>
      <c r="X5" s="23"/>
      <c r="Y5" s="23"/>
      <c r="Z5" s="23"/>
      <c r="AA5" s="23"/>
      <c r="AB5" s="12"/>
      <c r="AC5" s="42"/>
      <c r="AD5" s="42"/>
      <c r="AE5" s="42"/>
      <c r="AF5" s="42"/>
      <c r="AG5" s="42"/>
      <c r="AH5" s="45"/>
      <c r="AI5" s="33">
        <v>3526</v>
      </c>
      <c r="AJ5" s="33" t="s">
        <v>199</v>
      </c>
      <c r="AK5" s="2">
        <v>3526</v>
      </c>
      <c r="AL5" s="2"/>
      <c r="AM5" s="48"/>
      <c r="AN5" s="49" t="s">
        <v>141</v>
      </c>
      <c r="AO5" s="49" t="s">
        <v>217</v>
      </c>
      <c r="AP5" s="49" t="s">
        <v>141</v>
      </c>
      <c r="AQ5" s="39" t="s">
        <v>218</v>
      </c>
      <c r="AR5" s="41"/>
      <c r="AS5" s="39" t="s">
        <v>232</v>
      </c>
      <c r="AT5" s="39" t="s">
        <v>233</v>
      </c>
      <c r="AU5" s="39" t="s">
        <v>234</v>
      </c>
      <c r="AV5" s="39" t="s">
        <v>234</v>
      </c>
      <c r="AW5" s="46"/>
      <c r="AX5" s="23"/>
      <c r="AY5" s="23"/>
      <c r="AZ5" s="23"/>
      <c r="BA5" s="23"/>
      <c r="BB5" s="50"/>
      <c r="BC5" s="2" t="s">
        <v>259</v>
      </c>
      <c r="BD5" s="2" t="s">
        <v>260</v>
      </c>
      <c r="BE5" s="2" t="s">
        <v>259</v>
      </c>
      <c r="BG5" s="2" t="s">
        <v>306</v>
      </c>
      <c r="BH5" s="2" t="s">
        <v>307</v>
      </c>
      <c r="BI5" s="2" t="s">
        <v>306</v>
      </c>
      <c r="BK5" s="2" t="s">
        <v>340</v>
      </c>
      <c r="BL5" s="2" t="s">
        <v>341</v>
      </c>
      <c r="BM5" s="2" t="s">
        <v>340</v>
      </c>
      <c r="BO5" s="2" t="s">
        <v>174</v>
      </c>
      <c r="BP5" s="2"/>
      <c r="BQ5" s="2" t="s">
        <v>382</v>
      </c>
      <c r="BS5" s="2" t="s">
        <v>181</v>
      </c>
      <c r="BT5" s="2" t="s">
        <v>365</v>
      </c>
      <c r="BU5" s="2" t="s">
        <v>223</v>
      </c>
      <c r="BV5" s="2" t="s">
        <v>368</v>
      </c>
      <c r="BW5" s="2" t="s">
        <v>211</v>
      </c>
      <c r="BX5" s="2" t="s">
        <v>377</v>
      </c>
    </row>
    <row r="6" spans="1:76" ht="15.75" thickBot="1">
      <c r="A6" s="57" t="s">
        <v>31</v>
      </c>
      <c r="B6" s="3" t="s">
        <v>389</v>
      </c>
      <c r="C6" s="57" t="s">
        <v>78</v>
      </c>
      <c r="D6" s="3" t="s">
        <v>396</v>
      </c>
      <c r="E6" s="57" t="s">
        <v>3</v>
      </c>
      <c r="F6" s="2" t="s">
        <v>174</v>
      </c>
      <c r="G6" s="2" t="s">
        <v>174</v>
      </c>
      <c r="H6" s="2" t="s">
        <v>174</v>
      </c>
      <c r="I6" s="2" t="s">
        <v>174</v>
      </c>
      <c r="J6" s="69" t="s">
        <v>399</v>
      </c>
      <c r="K6" s="2" t="n">
        <v>0.0</v>
      </c>
      <c r="L6" s="3" t="n">
        <v>1.0</v>
      </c>
      <c r="N6" s="67" t="s">
        <v>61</v>
      </c>
      <c r="O6" s="4" t="str">
        <f>$B$6</f>
        <v>1821ALL</v>
      </c>
      <c r="P6" s="57" t="s">
        <v>60</v>
      </c>
      <c r="Q6" s="3" t="str">
        <f>B11</f>
        <v>HKL</v>
      </c>
      <c r="R6" s="57" t="s">
        <v>152</v>
      </c>
      <c r="S6" s="3" t="s">
        <v>138</v>
      </c>
      <c r="T6" s="57" t="s">
        <v>140</v>
      </c>
      <c r="U6" s="3" t="s">
        <v>138</v>
      </c>
      <c r="X6" s="23"/>
      <c r="Y6" s="23"/>
      <c r="Z6" s="23"/>
      <c r="AA6" s="23"/>
      <c r="AB6" s="12"/>
      <c r="AC6" s="12"/>
      <c r="AD6" s="12"/>
      <c r="AE6" s="12"/>
      <c r="AF6" s="12"/>
      <c r="AG6" s="12"/>
      <c r="AH6" s="38"/>
      <c r="AI6" s="33">
        <v>3527</v>
      </c>
      <c r="AJ6" s="33" t="s">
        <v>199</v>
      </c>
      <c r="AK6" s="2">
        <v>3527</v>
      </c>
      <c r="AL6" s="2"/>
      <c r="AM6" s="23"/>
      <c r="AN6" s="43"/>
      <c r="AO6" s="43"/>
      <c r="AP6" s="43"/>
      <c r="AQ6" s="43"/>
      <c r="AR6" s="46"/>
      <c r="AS6" s="39" t="s">
        <v>208</v>
      </c>
      <c r="AT6" s="39" t="s">
        <v>235</v>
      </c>
      <c r="AU6" s="39" t="s">
        <v>236</v>
      </c>
      <c r="AV6" s="39" t="s">
        <v>236</v>
      </c>
      <c r="AW6" s="46"/>
      <c r="AX6" s="43"/>
      <c r="AY6" s="43"/>
      <c r="AZ6" s="43"/>
      <c r="BA6" s="43"/>
      <c r="BB6" s="50"/>
      <c r="BC6" s="2" t="s">
        <v>261</v>
      </c>
      <c r="BD6" s="2" t="s">
        <v>262</v>
      </c>
      <c r="BE6" s="2" t="s">
        <v>261</v>
      </c>
      <c r="BG6" s="2" t="s">
        <v>308</v>
      </c>
      <c r="BH6" s="2" t="s">
        <v>309</v>
      </c>
      <c r="BI6" s="2" t="s">
        <v>308</v>
      </c>
      <c r="BK6" s="2" t="s">
        <v>342</v>
      </c>
      <c r="BL6" s="2" t="s">
        <v>343</v>
      </c>
      <c r="BM6" s="2" t="s">
        <v>342</v>
      </c>
      <c r="BS6" s="2" t="s">
        <v>142</v>
      </c>
      <c r="BT6" s="2" t="s">
        <v>364</v>
      </c>
      <c r="BU6" s="2" t="s">
        <v>141</v>
      </c>
      <c r="BV6" s="2" t="s">
        <v>369</v>
      </c>
      <c r="BW6" s="2" t="s">
        <v>208</v>
      </c>
      <c r="BX6" s="2" t="s">
        <v>376</v>
      </c>
    </row>
    <row r="7" spans="1:76">
      <c r="A7" s="57" t="s">
        <v>32</v>
      </c>
      <c r="B7" s="3" t="s">
        <v>98</v>
      </c>
      <c r="C7" s="57" t="s">
        <v>31</v>
      </c>
      <c r="D7" s="3" t="s">
        <v>174</v>
      </c>
      <c r="E7" s="57" t="s">
        <v>116</v>
      </c>
      <c r="F7" s="2" t="s">
        <v>404</v>
      </c>
      <c r="G7" s="2" t="s">
        <v>174</v>
      </c>
      <c r="H7" s="2" t="s">
        <v>174</v>
      </c>
      <c r="I7" s="2" t="s">
        <v>174</v>
      </c>
      <c r="J7" s="69" t="s">
        <v>405</v>
      </c>
      <c r="K7" s="2" t="n">
        <v>1.0</v>
      </c>
      <c r="L7" s="3" t="n">
        <v>0.0</v>
      </c>
      <c r="P7" s="57" t="s">
        <v>48</v>
      </c>
      <c r="Q7" s="3" t="str">
        <f>$B$15</f>
        <v>NaOkniePL</v>
      </c>
      <c r="R7" s="57" t="s">
        <v>146</v>
      </c>
      <c r="S7" s="3" t="s">
        <v>138</v>
      </c>
      <c r="T7" s="57" t="s">
        <v>166</v>
      </c>
      <c r="U7" s="3" t="s">
        <v>138</v>
      </c>
      <c r="X7" s="23"/>
      <c r="Y7" s="23"/>
      <c r="Z7" s="23"/>
      <c r="AA7" s="23"/>
      <c r="AB7" s="12"/>
      <c r="AC7" s="12"/>
      <c r="AD7" s="12"/>
      <c r="AE7" s="12"/>
      <c r="AF7" s="12"/>
      <c r="AG7" s="12"/>
      <c r="AH7" s="38"/>
      <c r="AI7" s="33">
        <v>3528</v>
      </c>
      <c r="AJ7" s="33" t="s">
        <v>199</v>
      </c>
      <c r="AK7" s="2">
        <v>3528</v>
      </c>
      <c r="AL7" s="2"/>
      <c r="AM7" s="23"/>
      <c r="AN7" s="43"/>
      <c r="AO7" s="43"/>
      <c r="AP7" s="43"/>
      <c r="AQ7" s="43"/>
      <c r="AR7" s="43"/>
      <c r="AS7" s="43"/>
      <c r="AT7" s="43"/>
      <c r="AU7" s="43"/>
      <c r="AV7" s="43"/>
      <c r="AW7" s="46"/>
      <c r="AX7" s="43"/>
      <c r="AY7" s="43"/>
      <c r="AZ7" s="43"/>
      <c r="BA7" s="43"/>
      <c r="BB7" s="50"/>
      <c r="BC7" s="2" t="s">
        <v>263</v>
      </c>
      <c r="BD7" s="2" t="s">
        <v>264</v>
      </c>
      <c r="BE7" s="2" t="s">
        <v>263</v>
      </c>
      <c r="BG7" s="2" t="s">
        <v>310</v>
      </c>
      <c r="BH7" s="2" t="s">
        <v>311</v>
      </c>
      <c r="BI7" s="2" t="s">
        <v>310</v>
      </c>
      <c r="BK7" s="2" t="s">
        <v>344</v>
      </c>
      <c r="BL7" s="2" t="s">
        <v>345</v>
      </c>
      <c r="BM7" s="2" t="s">
        <v>344</v>
      </c>
      <c r="BS7" s="2" t="s">
        <v>181</v>
      </c>
      <c r="BT7" s="2" t="s">
        <v>365</v>
      </c>
      <c r="BU7" s="2" t="s">
        <v>370</v>
      </c>
      <c r="BV7" s="2" t="s">
        <v>371</v>
      </c>
      <c r="BW7" s="2" t="s">
        <v>374</v>
      </c>
      <c r="BX7" s="2" t="s">
        <v>379</v>
      </c>
    </row>
    <row r="8" spans="1:76" ht="15.75" thickBot="1">
      <c r="A8" s="57" t="s">
        <v>33</v>
      </c>
      <c r="B8" s="7" t="s">
        <v>390</v>
      </c>
      <c r="C8" s="67" t="s">
        <v>386</v>
      </c>
      <c r="D8" s="4" t="s">
        <v>396</v>
      </c>
      <c r="E8" s="57" t="s">
        <v>117</v>
      </c>
      <c r="F8" s="2" t="s">
        <v>208</v>
      </c>
      <c r="G8" s="2" t="s">
        <v>209</v>
      </c>
      <c r="H8" s="2" t="s">
        <v>174</v>
      </c>
      <c r="I8" s="2" t="s">
        <v>174</v>
      </c>
      <c r="J8" s="69" t="s">
        <v>402</v>
      </c>
      <c r="K8" s="2" t="n">
        <v>1.0</v>
      </c>
      <c r="L8" s="3" t="n">
        <v>1.0</v>
      </c>
      <c r="P8" s="57" t="s">
        <v>49</v>
      </c>
      <c r="Q8" s="32" t="str">
        <f>B4</f>
        <v>Naoknie sp. z o.o.</v>
      </c>
      <c r="R8" s="57" t="s">
        <v>140</v>
      </c>
      <c r="S8" s="3" t="e">
        <f>IF($V$2="#24#",VLOOKUP($F$6,$AI$1:$AL$41,3,FALSE),"-")</f>
        <v>#N/A</v>
      </c>
      <c r="T8" s="57" t="s">
        <v>141</v>
      </c>
      <c r="U8" s="3" t="n">
        <f>$F$12/10</f>
        <v>186.0</v>
      </c>
      <c r="X8" s="26"/>
      <c r="Y8" s="23"/>
      <c r="Z8" s="23"/>
      <c r="AA8" s="23"/>
      <c r="AB8" s="12"/>
      <c r="AC8" s="12"/>
      <c r="AD8" s="12"/>
      <c r="AE8" s="12"/>
      <c r="AF8" s="12"/>
      <c r="AG8" s="12"/>
      <c r="AH8" s="38"/>
      <c r="AI8" s="33">
        <v>3529</v>
      </c>
      <c r="AJ8" s="33" t="s">
        <v>199</v>
      </c>
      <c r="AK8" s="2">
        <v>3529</v>
      </c>
      <c r="AL8" s="2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46"/>
      <c r="AX8" s="23"/>
      <c r="AY8" s="23"/>
      <c r="AZ8" s="23"/>
      <c r="BA8" s="23"/>
      <c r="BB8" s="46"/>
      <c r="BC8" s="2" t="s">
        <v>265</v>
      </c>
      <c r="BD8" s="2" t="s">
        <v>266</v>
      </c>
      <c r="BE8" s="2" t="s">
        <v>265</v>
      </c>
      <c r="BG8" s="2" t="s">
        <v>312</v>
      </c>
      <c r="BH8" s="2" t="s">
        <v>313</v>
      </c>
      <c r="BI8" s="2" t="s">
        <v>312</v>
      </c>
      <c r="BK8" s="2" t="s">
        <v>346</v>
      </c>
      <c r="BL8" s="2" t="s">
        <v>347</v>
      </c>
      <c r="BM8" s="2" t="s">
        <v>346</v>
      </c>
    </row>
    <row r="9" spans="1:76">
      <c r="A9" s="57" t="s">
        <v>34</v>
      </c>
      <c r="B9" s="3" t="s">
        <v>389</v>
      </c>
      <c r="E9" s="57" t="s">
        <v>118</v>
      </c>
      <c r="F9" s="2" t="s">
        <v>403</v>
      </c>
      <c r="G9" s="2" t="s">
        <v>133</v>
      </c>
      <c r="H9" s="2" t="s">
        <v>174</v>
      </c>
      <c r="I9" s="2" t="s">
        <v>174</v>
      </c>
      <c r="J9" s="69" t="s">
        <v>118</v>
      </c>
      <c r="K9" s="2" t="n">
        <v>1.0</v>
      </c>
      <c r="L9" s="3" t="n">
        <v>1.0</v>
      </c>
      <c r="P9" s="57" t="s">
        <v>50</v>
      </c>
      <c r="Q9" s="3" t="str">
        <f>$B$2</f>
        <v>Gdańska 16B</v>
      </c>
      <c r="R9" s="57" t="s">
        <v>160</v>
      </c>
      <c r="S9" s="3" t="s">
        <v>138</v>
      </c>
      <c r="T9" s="57" t="s">
        <v>142</v>
      </c>
      <c r="U9" s="3" t="n">
        <f>$F$13/10</f>
        <v>165.0</v>
      </c>
      <c r="X9" s="23"/>
      <c r="Y9" s="23"/>
      <c r="Z9" s="23"/>
      <c r="AA9" s="23"/>
      <c r="AB9" s="23"/>
      <c r="AC9" s="23"/>
      <c r="AD9" s="23"/>
      <c r="AE9" s="23"/>
      <c r="AF9" s="23"/>
      <c r="AG9" s="23"/>
      <c r="AH9" s="46"/>
      <c r="AI9" s="33">
        <v>3530</v>
      </c>
      <c r="AJ9" s="33" t="s">
        <v>199</v>
      </c>
      <c r="AK9" s="2">
        <v>3530</v>
      </c>
      <c r="AL9" s="2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46"/>
      <c r="AX9" s="23"/>
      <c r="AY9" s="23"/>
      <c r="AZ9" s="23"/>
      <c r="BA9" s="23"/>
      <c r="BB9" s="46"/>
      <c r="BC9" s="2" t="s">
        <v>267</v>
      </c>
      <c r="BD9" s="2" t="s">
        <v>268</v>
      </c>
      <c r="BE9" s="2" t="s">
        <v>267</v>
      </c>
      <c r="BG9" s="2" t="s">
        <v>314</v>
      </c>
      <c r="BH9" s="2" t="s">
        <v>315</v>
      </c>
      <c r="BI9" s="2" t="s">
        <v>314</v>
      </c>
      <c r="BK9" s="2" t="s">
        <v>348</v>
      </c>
      <c r="BL9" s="2" t="s">
        <v>349</v>
      </c>
      <c r="BM9" s="2" t="s">
        <v>348</v>
      </c>
    </row>
    <row r="10" spans="1:76">
      <c r="A10" s="57" t="s">
        <v>35</v>
      </c>
      <c r="B10" s="3" t="n">
        <v>28.0</v>
      </c>
      <c r="E10" s="57" t="s">
        <v>119</v>
      </c>
      <c r="F10" s="2" t="s">
        <v>223</v>
      </c>
      <c r="G10" s="2" t="s">
        <v>224</v>
      </c>
      <c r="H10" s="2" t="s">
        <v>174</v>
      </c>
      <c r="I10" s="2" t="s">
        <v>174</v>
      </c>
      <c r="J10" s="69" t="s">
        <v>83</v>
      </c>
      <c r="K10" s="2" t="n">
        <v>1.0</v>
      </c>
      <c r="L10" s="3" t="n">
        <v>1.0</v>
      </c>
      <c r="P10" s="57" t="s">
        <v>51</v>
      </c>
      <c r="Q10" s="3" t="str">
        <f>$B$16</f>
        <v>70-661</v>
      </c>
      <c r="R10" s="57" t="s">
        <v>157</v>
      </c>
      <c r="S10" s="3" t="s">
        <v>138</v>
      </c>
      <c r="T10" s="57" t="s">
        <v>148</v>
      </c>
      <c r="U10" s="3" t="s">
        <v>138</v>
      </c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46"/>
      <c r="AI10" s="34">
        <v>3538</v>
      </c>
      <c r="AJ10" s="34" t="s">
        <v>200</v>
      </c>
      <c r="AK10" s="2">
        <v>3538</v>
      </c>
      <c r="AL10" s="2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46"/>
      <c r="AX10" s="23"/>
      <c r="AY10" s="23"/>
      <c r="AZ10" s="23"/>
      <c r="BA10" s="23"/>
      <c r="BB10" s="46"/>
      <c r="BC10" s="2" t="s">
        <v>269</v>
      </c>
      <c r="BD10" s="2" t="s">
        <v>270</v>
      </c>
      <c r="BE10" s="2" t="s">
        <v>269</v>
      </c>
      <c r="BG10" s="2" t="s">
        <v>316</v>
      </c>
      <c r="BH10" s="2" t="s">
        <v>317</v>
      </c>
      <c r="BI10" s="2" t="s">
        <v>316</v>
      </c>
      <c r="BK10" s="2" t="s">
        <v>350</v>
      </c>
      <c r="BL10" s="2" t="s">
        <v>351</v>
      </c>
      <c r="BM10" s="2" t="s">
        <v>350</v>
      </c>
    </row>
    <row r="11" spans="1:76">
      <c r="A11" s="57" t="s">
        <v>36</v>
      </c>
      <c r="B11" s="3" t="s">
        <v>99</v>
      </c>
      <c r="E11" s="57" t="s">
        <v>6</v>
      </c>
      <c r="F11" s="2" t="s">
        <v>181</v>
      </c>
      <c r="G11" s="2" t="s">
        <v>365</v>
      </c>
      <c r="H11" s="2" t="s">
        <v>174</v>
      </c>
      <c r="I11" s="2" t="s">
        <v>174</v>
      </c>
      <c r="J11" s="69" t="s">
        <v>84</v>
      </c>
      <c r="K11" s="2" t="n">
        <v>1.0</v>
      </c>
      <c r="L11" s="3" t="n">
        <v>1.0</v>
      </c>
      <c r="P11" s="57" t="s">
        <v>52</v>
      </c>
      <c r="Q11" s="3" t="str">
        <f>$B$3</f>
        <v>Szczecin</v>
      </c>
      <c r="R11" s="57" t="s">
        <v>141</v>
      </c>
      <c r="S11" s="3" t="n">
        <f>$F$12/10</f>
        <v>186.0</v>
      </c>
      <c r="T11" s="57" t="s">
        <v>149</v>
      </c>
      <c r="U11" s="3" t="s">
        <v>138</v>
      </c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46"/>
      <c r="AI11" s="34">
        <v>3487</v>
      </c>
      <c r="AJ11" s="34" t="s">
        <v>200</v>
      </c>
      <c r="AK11" s="2">
        <v>3487</v>
      </c>
      <c r="AL11" s="2" t="s">
        <v>228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46"/>
      <c r="AX11" s="23"/>
      <c r="AY11" s="23"/>
      <c r="AZ11" s="23"/>
      <c r="BA11" s="23"/>
      <c r="BB11" s="46"/>
      <c r="BC11" s="2" t="s">
        <v>271</v>
      </c>
      <c r="BD11" s="2" t="s">
        <v>272</v>
      </c>
      <c r="BE11" s="2" t="s">
        <v>271</v>
      </c>
      <c r="BG11" s="2" t="s">
        <v>318</v>
      </c>
      <c r="BH11" s="2" t="s">
        <v>319</v>
      </c>
      <c r="BI11" s="2" t="s">
        <v>318</v>
      </c>
      <c r="BK11" s="2" t="s">
        <v>352</v>
      </c>
      <c r="BL11" s="2" t="s">
        <v>353</v>
      </c>
      <c r="BM11" s="2" t="s">
        <v>352</v>
      </c>
    </row>
    <row r="12" spans="1:76">
      <c r="A12" s="57" t="s">
        <v>37</v>
      </c>
      <c r="B12" s="3" t="s">
        <v>391</v>
      </c>
      <c r="E12" s="57" t="s">
        <v>4</v>
      </c>
      <c r="F12" s="2" t="n">
        <v>1860.0</v>
      </c>
      <c r="G12" s="2" t="s">
        <v>174</v>
      </c>
      <c r="H12" s="2" t="s">
        <v>174</v>
      </c>
      <c r="I12" s="2" t="s">
        <v>174</v>
      </c>
      <c r="J12" s="69" t="s">
        <v>407</v>
      </c>
      <c r="K12" s="2" t="n">
        <v>1.0</v>
      </c>
      <c r="L12" s="3" t="n">
        <v>0.0</v>
      </c>
      <c r="P12" s="57" t="s">
        <v>53</v>
      </c>
      <c r="Q12" s="3" t="str">
        <f>$B$7</f>
        <v>PL</v>
      </c>
      <c r="R12" s="57" t="s">
        <v>142</v>
      </c>
      <c r="S12" s="3" t="n">
        <f>$F$13/10</f>
        <v>165.0</v>
      </c>
      <c r="T12" s="57" t="s">
        <v>150</v>
      </c>
      <c r="U12" s="3" t="s">
        <v>138</v>
      </c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46"/>
      <c r="AI12" s="34">
        <v>3491</v>
      </c>
      <c r="AJ12" s="34" t="s">
        <v>200</v>
      </c>
      <c r="AK12" s="2">
        <v>3491</v>
      </c>
      <c r="AL12" s="2"/>
      <c r="AM12" s="25"/>
      <c r="AN12" s="12"/>
      <c r="AO12" s="12"/>
      <c r="AP12" s="12"/>
      <c r="AQ12" s="12"/>
      <c r="AR12" s="12"/>
      <c r="AS12" s="12"/>
      <c r="AT12" s="12"/>
      <c r="AU12" s="12"/>
      <c r="AV12" s="12"/>
      <c r="AW12" s="38"/>
      <c r="AX12" s="12"/>
      <c r="AY12" s="12"/>
      <c r="AZ12" s="12"/>
      <c r="BA12" s="12"/>
      <c r="BB12" s="38"/>
      <c r="BC12" s="2" t="s">
        <v>273</v>
      </c>
      <c r="BD12" s="2" t="s">
        <v>274</v>
      </c>
      <c r="BE12" s="2" t="s">
        <v>273</v>
      </c>
      <c r="BG12" s="2" t="s">
        <v>320</v>
      </c>
      <c r="BH12" s="2" t="s">
        <v>321</v>
      </c>
      <c r="BI12" s="2" t="s">
        <v>320</v>
      </c>
      <c r="BK12" s="2" t="s">
        <v>174</v>
      </c>
      <c r="BL12" s="2"/>
      <c r="BM12" s="2" t="s">
        <v>383</v>
      </c>
    </row>
    <row r="13" spans="1:76">
      <c r="A13" s="57" t="s">
        <v>38</v>
      </c>
      <c r="B13" s="8" t="s">
        <v>392</v>
      </c>
      <c r="E13" s="57" t="s">
        <v>5</v>
      </c>
      <c r="F13" s="2" t="n">
        <v>1650.0</v>
      </c>
      <c r="G13" s="2" t="s">
        <v>174</v>
      </c>
      <c r="H13" s="2" t="s">
        <v>174</v>
      </c>
      <c r="I13" s="2" t="s">
        <v>174</v>
      </c>
      <c r="J13" s="69" t="s">
        <v>411</v>
      </c>
      <c r="K13" s="2" t="n">
        <v>1.0</v>
      </c>
      <c r="L13" s="3" t="n">
        <v>0.0</v>
      </c>
      <c r="P13" s="57" t="s">
        <v>54</v>
      </c>
      <c r="Q13" s="3" t="str">
        <f>$B$12</f>
        <v>0048 913000026</v>
      </c>
      <c r="R13" s="57" t="s">
        <v>148</v>
      </c>
      <c r="S13" s="3" t="s">
        <v>138</v>
      </c>
      <c r="T13" s="57" t="s">
        <v>170</v>
      </c>
      <c r="U13" s="3" t="s">
        <v>138</v>
      </c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46"/>
      <c r="AI13" s="34">
        <v>3539</v>
      </c>
      <c r="AJ13" s="34" t="s">
        <v>200</v>
      </c>
      <c r="AK13" s="2">
        <v>3539</v>
      </c>
      <c r="AL13" s="2"/>
      <c r="AM13" s="23"/>
      <c r="AN13" s="12"/>
      <c r="AO13" s="12"/>
      <c r="AP13" s="12"/>
      <c r="AQ13" s="12"/>
      <c r="AR13" s="12"/>
      <c r="AS13" s="12"/>
      <c r="AT13" s="12"/>
      <c r="AU13" s="12"/>
      <c r="AV13" s="12"/>
      <c r="AW13" s="38"/>
      <c r="AX13" s="12"/>
      <c r="AY13" s="12"/>
      <c r="AZ13" s="12"/>
      <c r="BA13" s="12"/>
      <c r="BB13" s="38"/>
      <c r="BC13" s="2" t="s">
        <v>275</v>
      </c>
      <c r="BD13" s="2" t="s">
        <v>276</v>
      </c>
      <c r="BE13" s="2" t="s">
        <v>275</v>
      </c>
      <c r="BG13" s="2" t="s">
        <v>322</v>
      </c>
      <c r="BH13" s="2" t="s">
        <v>323</v>
      </c>
      <c r="BI13" s="2" t="s">
        <v>322</v>
      </c>
    </row>
    <row r="14" spans="1:76">
      <c r="A14" s="57" t="s">
        <v>39</v>
      </c>
      <c r="B14" s="9" t="s">
        <v>393</v>
      </c>
      <c r="E14" s="57" t="s">
        <v>120</v>
      </c>
      <c r="F14" s="2" t="n">
        <v>2160.0</v>
      </c>
      <c r="G14" s="2" t="s">
        <v>174</v>
      </c>
      <c r="H14" s="2" t="s">
        <v>174</v>
      </c>
      <c r="I14" s="2" t="s">
        <v>174</v>
      </c>
      <c r="J14" s="69" t="s">
        <v>409</v>
      </c>
      <c r="K14" s="2" t="n">
        <v>1.0</v>
      </c>
      <c r="L14" s="3" t="n">
        <v>0.0</v>
      </c>
      <c r="P14" s="57" t="s">
        <v>55</v>
      </c>
      <c r="Q14" s="3" t="str">
        <f>$B$8</f>
        <v>biuro@naoknie.pl</v>
      </c>
      <c r="R14" s="57" t="s">
        <v>149</v>
      </c>
      <c r="S14" s="3" t="s">
        <v>138</v>
      </c>
      <c r="T14" s="57" t="s">
        <v>167</v>
      </c>
      <c r="U14" s="3" t="s">
        <v>138</v>
      </c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46"/>
      <c r="AI14" s="34">
        <v>3486</v>
      </c>
      <c r="AJ14" s="34" t="s">
        <v>199</v>
      </c>
      <c r="AK14" s="2">
        <v>3486</v>
      </c>
      <c r="AL14" s="2" t="s">
        <v>237</v>
      </c>
      <c r="AM14" s="23"/>
      <c r="AN14" s="12"/>
      <c r="AO14" s="12"/>
      <c r="AP14" s="12"/>
      <c r="AQ14" s="12"/>
      <c r="AR14" s="12"/>
      <c r="AS14" s="12"/>
      <c r="AT14" s="12"/>
      <c r="AU14" s="12"/>
      <c r="AV14" s="12"/>
      <c r="AW14" s="38"/>
      <c r="AX14" s="12"/>
      <c r="AY14" s="12"/>
      <c r="AZ14" s="12"/>
      <c r="BA14" s="12"/>
      <c r="BB14" s="38"/>
      <c r="BC14" s="2" t="s">
        <v>277</v>
      </c>
      <c r="BD14" s="2" t="s">
        <v>278</v>
      </c>
      <c r="BE14" s="2" t="s">
        <v>277</v>
      </c>
      <c r="BG14" s="2" t="s">
        <v>324</v>
      </c>
      <c r="BH14" s="2" t="s">
        <v>325</v>
      </c>
      <c r="BI14" s="2" t="s">
        <v>324</v>
      </c>
    </row>
    <row r="15" spans="1:76">
      <c r="A15" s="57" t="s">
        <v>40</v>
      </c>
      <c r="B15" s="3" t="s">
        <v>394</v>
      </c>
      <c r="E15" s="57" t="s">
        <v>121</v>
      </c>
      <c r="F15" s="2" t="n">
        <v>2100.0</v>
      </c>
      <c r="G15" s="2" t="s">
        <v>174</v>
      </c>
      <c r="H15" s="2" t="s">
        <v>174</v>
      </c>
      <c r="I15" s="2" t="s">
        <v>174</v>
      </c>
      <c r="J15" s="69" t="s">
        <v>410</v>
      </c>
      <c r="K15" s="2" t="n">
        <v>1.0</v>
      </c>
      <c r="L15" s="3" t="n">
        <v>0.0</v>
      </c>
      <c r="P15" s="57" t="s">
        <v>56</v>
      </c>
      <c r="Q15" s="3"/>
      <c r="R15" s="57" t="s">
        <v>150</v>
      </c>
      <c r="S15" s="3" t="s">
        <v>138</v>
      </c>
      <c r="T15" s="57" t="s">
        <v>161</v>
      </c>
      <c r="U15" s="3" t="s">
        <v>138</v>
      </c>
      <c r="X15" s="25"/>
      <c r="Y15" s="23"/>
      <c r="Z15" s="23"/>
      <c r="AA15" s="23"/>
      <c r="AB15" s="12"/>
      <c r="AC15" s="12"/>
      <c r="AD15" s="12"/>
      <c r="AE15" s="12"/>
      <c r="AF15" s="12"/>
      <c r="AG15" s="12"/>
      <c r="AH15" s="38"/>
      <c r="AI15" s="34">
        <v>3490</v>
      </c>
      <c r="AJ15" s="34" t="s">
        <v>199</v>
      </c>
      <c r="AK15" s="2">
        <v>3490</v>
      </c>
      <c r="AL15" s="2" t="s">
        <v>238</v>
      </c>
      <c r="AM15" s="24"/>
      <c r="AN15" s="12"/>
      <c r="AO15" s="12"/>
      <c r="AP15" s="12"/>
      <c r="AQ15" s="12"/>
      <c r="AR15" s="12"/>
      <c r="AS15" s="12"/>
      <c r="AT15" s="12"/>
      <c r="AU15" s="12"/>
      <c r="AV15" s="12"/>
      <c r="AW15" s="38"/>
      <c r="AX15" s="12"/>
      <c r="AY15" s="12"/>
      <c r="AZ15" s="12"/>
      <c r="BA15" s="12"/>
      <c r="BB15" s="38"/>
      <c r="BC15" s="2" t="s">
        <v>279</v>
      </c>
      <c r="BD15" s="2" t="s">
        <v>280</v>
      </c>
      <c r="BE15" s="2" t="s">
        <v>279</v>
      </c>
      <c r="BG15" s="2" t="s">
        <v>326</v>
      </c>
      <c r="BH15" s="2" t="s">
        <v>327</v>
      </c>
      <c r="BI15" s="2" t="s">
        <v>326</v>
      </c>
    </row>
    <row r="16" spans="1:76">
      <c r="A16" s="57" t="s">
        <v>41</v>
      </c>
      <c r="B16" s="3" t="s">
        <v>395</v>
      </c>
      <c r="E16" s="57" t="s">
        <v>122</v>
      </c>
      <c r="F16" s="2" t="s">
        <v>174</v>
      </c>
      <c r="G16" s="2" t="s">
        <v>174</v>
      </c>
      <c r="H16" s="2" t="s">
        <v>174</v>
      </c>
      <c r="I16" s="2" t="s">
        <v>174</v>
      </c>
      <c r="J16" s="69" t="s">
        <v>408</v>
      </c>
      <c r="K16" s="2" t="n">
        <v>0.0</v>
      </c>
      <c r="L16" s="3" t="n">
        <v>0.0</v>
      </c>
      <c r="P16" s="57" t="s">
        <v>61</v>
      </c>
      <c r="Q16" s="3" t="str">
        <f>$D$3</f>
        <v>&lt;NULL&gt;</v>
      </c>
      <c r="R16" s="57" t="s">
        <v>143</v>
      </c>
      <c r="S16" s="3" t="str">
        <f>IF($V$2="#24#",VLOOKUP($F$4,$AD$1:$AG$4,3,FALSE),"-")</f>
        <v>Luxan</v>
      </c>
      <c r="T16" s="57" t="s">
        <v>163</v>
      </c>
      <c r="U16" s="3" t="s">
        <v>138</v>
      </c>
      <c r="X16" s="23"/>
      <c r="Y16" s="23"/>
      <c r="Z16" s="23"/>
      <c r="AA16" s="23"/>
      <c r="AB16" s="12"/>
      <c r="AC16" s="12"/>
      <c r="AD16" s="12"/>
      <c r="AE16" s="12"/>
      <c r="AF16" s="12"/>
      <c r="AG16" s="12"/>
      <c r="AH16" s="38"/>
      <c r="AI16" s="34">
        <v>3492</v>
      </c>
      <c r="AJ16" s="35" t="s">
        <v>199</v>
      </c>
      <c r="AK16" s="2">
        <v>3492</v>
      </c>
      <c r="AL16" s="2"/>
      <c r="AM16" s="23"/>
      <c r="AN16" s="12"/>
      <c r="AO16" s="12"/>
      <c r="AP16" s="12"/>
      <c r="AQ16" s="12"/>
      <c r="AR16" s="12"/>
      <c r="AS16" s="12"/>
      <c r="AT16" s="12"/>
      <c r="AU16" s="12"/>
      <c r="AV16" s="12"/>
      <c r="AW16" s="38"/>
      <c r="AX16" s="12"/>
      <c r="AY16" s="12"/>
      <c r="AZ16" s="12"/>
      <c r="BA16" s="12"/>
      <c r="BB16" s="38"/>
      <c r="BC16" s="2" t="s">
        <v>281</v>
      </c>
      <c r="BD16" s="2" t="s">
        <v>282</v>
      </c>
      <c r="BE16" s="2" t="s">
        <v>281</v>
      </c>
      <c r="BG16" s="2" t="s">
        <v>328</v>
      </c>
      <c r="BH16" s="2" t="s">
        <v>329</v>
      </c>
      <c r="BI16" s="2" t="s">
        <v>328</v>
      </c>
    </row>
    <row r="17" spans="1:61" ht="15.75" thickBot="1">
      <c r="A17" s="67" t="s">
        <v>79</v>
      </c>
      <c r="B17" s="4" t="n">
        <v>1474.0</v>
      </c>
      <c r="E17" s="57" t="s">
        <v>123</v>
      </c>
      <c r="F17" s="2" t="s">
        <v>223</v>
      </c>
      <c r="G17" s="2" t="s">
        <v>368</v>
      </c>
      <c r="H17" s="2" t="s">
        <v>174</v>
      </c>
      <c r="I17" s="2" t="s">
        <v>174</v>
      </c>
      <c r="J17" s="69" t="s">
        <v>133</v>
      </c>
      <c r="K17" s="2" t="n">
        <v>1.0</v>
      </c>
      <c r="L17" s="3" t="n">
        <v>1.0</v>
      </c>
      <c r="P17" s="61" t="s">
        <v>112</v>
      </c>
      <c r="Q17" s="27" t="n">
        <f>F2</f>
        <v>1.0</v>
      </c>
      <c r="R17" s="57" t="s">
        <v>159</v>
      </c>
      <c r="S17" s="3" t="str">
        <f><![CDATA[IF(AND($V$2="#24#",NOT($F$20=""),NOT($F$20="<NULL>")),"EP_"&VLOOKUP($F$20,$BC$1:$BE$23,3,FALSE)&"_"&VLOOKUP($F$11,$BG$1:$BI$18,3,FALSE)&"_"&VLOOKUP($F$12,$BK$1:$BM$12,3,FALSE)&"_"&VLOOKUP($F$13,$BO$1:$BQ$5,3,FALSE)&"_X00_Y00_Z00","-")]]></f>
        <v>-</v>
      </c>
      <c r="T17" s="57" t="s">
        <v>143</v>
      </c>
      <c r="U17" s="3" t="s">
        <v>138</v>
      </c>
      <c r="X17" s="23"/>
      <c r="Y17" s="23"/>
      <c r="Z17" s="23"/>
      <c r="AA17" s="23"/>
      <c r="AB17" s="12"/>
      <c r="AC17" s="12"/>
      <c r="AD17" s="12"/>
      <c r="AE17" s="12"/>
      <c r="AF17" s="12"/>
      <c r="AG17" s="12"/>
      <c r="AH17" s="38"/>
      <c r="AI17" s="34">
        <v>3488</v>
      </c>
      <c r="AJ17" s="35" t="s">
        <v>199</v>
      </c>
      <c r="AK17" s="2">
        <v>3488</v>
      </c>
      <c r="AL17" s="2" t="s">
        <v>243</v>
      </c>
      <c r="AM17" s="23"/>
      <c r="AN17" s="12"/>
      <c r="AO17" s="12"/>
      <c r="AP17" s="12"/>
      <c r="AQ17" s="12"/>
      <c r="AR17" s="12"/>
      <c r="AS17" s="12"/>
      <c r="AT17" s="12"/>
      <c r="AU17" s="12"/>
      <c r="AV17" s="12"/>
      <c r="AW17" s="38"/>
      <c r="AX17" s="12"/>
      <c r="AY17" s="12"/>
      <c r="AZ17" s="12"/>
      <c r="BA17" s="12"/>
      <c r="BB17" s="38"/>
      <c r="BC17" s="2" t="s">
        <v>283</v>
      </c>
      <c r="BD17" s="2" t="s">
        <v>284</v>
      </c>
      <c r="BE17" s="2" t="s">
        <v>283</v>
      </c>
      <c r="BG17" s="2" t="s">
        <v>330</v>
      </c>
      <c r="BH17" s="2" t="s">
        <v>331</v>
      </c>
      <c r="BI17" s="2" t="s">
        <v>330</v>
      </c>
    </row>
    <row r="18" spans="1:61">
      <c r="A18"/>
      <c r="E18" s="57" t="s">
        <v>11</v>
      </c>
      <c r="F18" s="2" t="s">
        <v>247</v>
      </c>
      <c r="G18" s="2" t="s">
        <v>248</v>
      </c>
      <c r="H18" s="2" t="s">
        <v>174</v>
      </c>
      <c r="I18" s="2" t="s">
        <v>174</v>
      </c>
      <c r="J18" s="69" t="s">
        <v>134</v>
      </c>
      <c r="K18" s="2" t="n">
        <v>1.0</v>
      </c>
      <c r="L18" s="3" t="n">
        <v>1.0</v>
      </c>
      <c r="P18" s="61" t="s">
        <v>113</v>
      </c>
      <c r="Q18" s="27">
        <v>1</v>
      </c>
      <c r="R18" s="57" t="s">
        <v>161</v>
      </c>
      <c r="S18" s="3" t="s">
        <v>138</v>
      </c>
      <c r="T18" s="57" t="s">
        <v>144</v>
      </c>
      <c r="U18" s="3" t="s">
        <v>138</v>
      </c>
      <c r="X18" s="24"/>
      <c r="Y18" s="24"/>
      <c r="Z18" s="24"/>
      <c r="AA18" s="24"/>
      <c r="AB18" s="12"/>
      <c r="AC18" s="12"/>
      <c r="AD18" s="12"/>
      <c r="AE18" s="12"/>
      <c r="AF18" s="12"/>
      <c r="AG18" s="12"/>
      <c r="AH18" s="38"/>
      <c r="AI18" s="34">
        <v>3493</v>
      </c>
      <c r="AJ18" s="35" t="s">
        <v>199</v>
      </c>
      <c r="AK18" s="2">
        <v>3493</v>
      </c>
      <c r="AL18" s="2"/>
      <c r="BC18" s="2" t="s">
        <v>285</v>
      </c>
      <c r="BD18" s="2" t="s">
        <v>286</v>
      </c>
      <c r="BE18" s="2" t="s">
        <v>285</v>
      </c>
      <c r="BG18" s="2" t="s">
        <v>174</v>
      </c>
      <c r="BH18" s="2"/>
      <c r="BI18" s="2" t="s">
        <v>301</v>
      </c>
    </row>
    <row r="19" spans="1:61">
      <c r="E19" s="57" t="s">
        <v>12</v>
      </c>
      <c r="F19" s="2" t="n">
        <v>1250.0</v>
      </c>
      <c r="G19" s="21" t="s">
        <v>174</v>
      </c>
      <c r="H19" s="2" t="s">
        <v>174</v>
      </c>
      <c r="I19" s="2" t="s">
        <v>174</v>
      </c>
      <c r="J19" s="69" t="s">
        <v>135</v>
      </c>
      <c r="K19" s="2" t="n">
        <v>1.0</v>
      </c>
      <c r="L19" s="3" t="n">
        <v>0.0</v>
      </c>
      <c r="P19" s="61" t="s">
        <v>62</v>
      </c>
      <c r="Q19" s="27" t="n">
        <f>IF(ISERROR($F$31/1),0,$F$31)</f>
        <v>77.78</v>
      </c>
      <c r="R19" s="57" t="s">
        <v>163</v>
      </c>
      <c r="S19" s="3" t="str">
        <f>IF($V$2="#24#",VLOOKUP($F$18,$AX$1:$BA$3,3,FALSE),"-")</f>
        <v>T</v>
      </c>
      <c r="T19" s="57" t="s">
        <v>159</v>
      </c>
      <c r="U19" s="3" t="s">
        <v>138</v>
      </c>
      <c r="X19" s="23"/>
      <c r="Y19" s="23"/>
      <c r="Z19" s="23"/>
      <c r="AA19" s="23"/>
      <c r="AB19" s="12"/>
      <c r="AC19" s="12"/>
      <c r="AD19" s="12"/>
      <c r="AE19" s="12"/>
      <c r="AF19" s="12"/>
      <c r="AG19" s="12"/>
      <c r="AH19" s="38"/>
      <c r="AI19" s="37">
        <v>2827</v>
      </c>
      <c r="AJ19" s="36" t="s">
        <v>199</v>
      </c>
      <c r="AK19" s="2">
        <v>2827</v>
      </c>
      <c r="AL19" s="2"/>
      <c r="BC19" s="2" t="s">
        <v>287</v>
      </c>
      <c r="BD19" s="2" t="s">
        <v>288</v>
      </c>
      <c r="BE19" s="2" t="s">
        <v>287</v>
      </c>
    </row>
    <row r="20" spans="1:61">
      <c r="E20" s="57" t="s">
        <v>7</v>
      </c>
      <c r="F20" s="2" t="s">
        <v>174</v>
      </c>
      <c r="G20" s="2" t="s">
        <v>174</v>
      </c>
      <c r="H20" s="2" t="s">
        <v>174</v>
      </c>
      <c r="I20" s="2" t="s">
        <v>174</v>
      </c>
      <c r="J20" s="69" t="s">
        <v>7</v>
      </c>
      <c r="K20" s="2" t="n">
        <v>0.0</v>
      </c>
      <c r="L20" s="3" t="n">
        <v>1.0</v>
      </c>
      <c r="P20" s="61" t="s">
        <v>63</v>
      </c>
      <c r="Q20" s="27" t="n">
        <f>ROUND(IF(ISERROR($Q$21/$Q$19),0,$Q$21/$Q$19),4)</f>
        <v>0.0</v>
      </c>
      <c r="R20" s="57" t="s">
        <v>144</v>
      </c>
      <c r="S20" s="3" t="s">
        <v>138</v>
      </c>
      <c r="T20" s="57" t="s">
        <v>164</v>
      </c>
      <c r="U20" s="3" t="s">
        <v>138</v>
      </c>
      <c r="X20" s="23"/>
      <c r="Y20" s="23"/>
      <c r="Z20" s="23"/>
      <c r="AA20" s="23"/>
      <c r="AB20" s="12"/>
      <c r="AC20" s="12"/>
      <c r="AD20" s="12"/>
      <c r="AE20" s="12"/>
      <c r="AF20" s="12"/>
      <c r="AG20" s="12"/>
      <c r="AH20" s="38"/>
      <c r="AI20" s="37">
        <v>2828</v>
      </c>
      <c r="AJ20" s="36" t="s">
        <v>199</v>
      </c>
      <c r="AK20" s="2">
        <v>2828</v>
      </c>
      <c r="AL20" s="2"/>
      <c r="BC20" s="2" t="s">
        <v>289</v>
      </c>
      <c r="BD20" s="2" t="s">
        <v>290</v>
      </c>
      <c r="BE20" s="2" t="s">
        <v>289</v>
      </c>
    </row>
    <row r="21" spans="1:61">
      <c r="E21" s="57" t="s">
        <v>8</v>
      </c>
      <c r="F21" s="2" t="s">
        <v>174</v>
      </c>
      <c r="G21" s="2" t="s">
        <v>174</v>
      </c>
      <c r="H21" s="2" t="s">
        <v>174</v>
      </c>
      <c r="I21" s="2" t="s">
        <v>174</v>
      </c>
      <c r="J21" s="69" t="s">
        <v>8</v>
      </c>
      <c r="K21" s="2" t="n">
        <v>0.0</v>
      </c>
      <c r="L21" s="3" t="n">
        <v>1.0</v>
      </c>
      <c r="P21" s="61" t="s">
        <v>64</v>
      </c>
      <c r="Q21" s="27" t="n">
        <f>$Q$19-$Q$22</f>
        <v>0.0</v>
      </c>
      <c r="R21" s="57" t="s">
        <v>164</v>
      </c>
      <c r="S21" s="3" t="s">
        <v>138</v>
      </c>
      <c r="T21" s="57" t="s">
        <v>151</v>
      </c>
      <c r="U21" s="3" t="s">
        <v>138</v>
      </c>
      <c r="AI21" s="37">
        <v>2829</v>
      </c>
      <c r="AJ21" s="36" t="s">
        <v>199</v>
      </c>
      <c r="AK21" s="2">
        <v>2829</v>
      </c>
      <c r="AL21" s="2"/>
      <c r="BC21" s="2" t="s">
        <v>291</v>
      </c>
      <c r="BD21" s="2" t="s">
        <v>292</v>
      </c>
      <c r="BE21" s="2" t="s">
        <v>291</v>
      </c>
    </row>
    <row r="22" spans="1:61">
      <c r="E22" s="57" t="s">
        <v>9</v>
      </c>
      <c r="F22" s="2" t="s">
        <v>174</v>
      </c>
      <c r="G22" s="2" t="s">
        <v>174</v>
      </c>
      <c r="H22" s="2" t="s">
        <v>174</v>
      </c>
      <c r="I22" s="2" t="s">
        <v>174</v>
      </c>
      <c r="J22" s="69" t="s">
        <v>9</v>
      </c>
      <c r="K22" s="2" t="n">
        <v>0.0</v>
      </c>
      <c r="L22" s="3" t="n">
        <v>1.0</v>
      </c>
      <c r="P22" s="62" t="s">
        <v>65</v>
      </c>
      <c r="Q22" s="28" t="n">
        <f>IF(ISERROR($F$35/1),Q19,$F$35)</f>
        <v>77.78</v>
      </c>
      <c r="R22" s="57" t="s">
        <v>151</v>
      </c>
      <c r="S22" s="3" t="s">
        <v>138</v>
      </c>
      <c r="T22" s="57" t="s">
        <v>155</v>
      </c>
      <c r="U22" s="3" t="s">
        <v>138</v>
      </c>
      <c r="AI22" s="37">
        <v>2830</v>
      </c>
      <c r="AJ22" s="36" t="s">
        <v>199</v>
      </c>
      <c r="AK22" s="2">
        <v>2830</v>
      </c>
      <c r="AL22" s="2"/>
      <c r="BC22" s="2" t="s">
        <v>293</v>
      </c>
      <c r="BD22" s="2" t="s">
        <v>294</v>
      </c>
      <c r="BE22" s="2" t="s">
        <v>293</v>
      </c>
    </row>
    <row r="23" spans="1:61">
      <c r="E23" s="57" t="s">
        <v>10</v>
      </c>
      <c r="F23" s="2" t="s">
        <v>174</v>
      </c>
      <c r="G23" s="2" t="s">
        <v>174</v>
      </c>
      <c r="H23" s="2" t="s">
        <v>174</v>
      </c>
      <c r="I23" s="2" t="s">
        <v>174</v>
      </c>
      <c r="J23" s="69" t="s">
        <v>10</v>
      </c>
      <c r="K23" s="2" t="n">
        <v>0.0</v>
      </c>
      <c r="L23" s="3" t="n">
        <v>1.0</v>
      </c>
      <c r="P23" s="63" t="s">
        <v>94</v>
      </c>
      <c r="Q23" s="29" t="str">
        <f>$D$8&amp;" "&amp;$D$6&amp;" "&amp;$F$37</f>
        <v xml:space="preserve">RZYMSKIE RZYMSKIE KONFIGURACJA=S_N,SYSTEM=L,TKANINA KLIENTA - KOD/NAZWA=RZW-14 Szary,MODEL TKANINY=C,SZEROKOŚĆ [MM]=1860,WYSOKOŚĆ [MM]=1650,ILOŚĆ SEGMENTÓW=5,OSTATNI SEGMENT DOLNY=C,STEROWANIE=K,KOLOR SYSTEMU=W,STRONA STEROWANIA=R,KORALIK=W,CHILD SAFETY=CS_YES,DŁUGOŚĆ STEROWANIA [MM]=1250</v>
      </c>
      <c r="R23" s="57" t="s">
        <v>155</v>
      </c>
      <c r="S23" s="3" t="s">
        <v>138</v>
      </c>
      <c r="T23" s="57" t="s">
        <v>156</v>
      </c>
      <c r="U23" s="3" t="s">
        <v>138</v>
      </c>
      <c r="AI23" s="37">
        <v>2832</v>
      </c>
      <c r="AJ23" s="36" t="s">
        <v>199</v>
      </c>
      <c r="AK23" s="2">
        <v>2832</v>
      </c>
      <c r="AL23" s="2"/>
      <c r="BC23" s="2" t="s">
        <v>295</v>
      </c>
      <c r="BD23" s="2" t="s">
        <v>296</v>
      </c>
      <c r="BE23" s="2" t="s">
        <v>295</v>
      </c>
    </row>
    <row r="24" spans="1:61">
      <c r="E24" s="57" t="s">
        <v>13</v>
      </c>
      <c r="F24" s="2" t="s">
        <v>174</v>
      </c>
      <c r="G24" s="2" t="s">
        <v>174</v>
      </c>
      <c r="H24" s="2" t="s">
        <v>174</v>
      </c>
      <c r="I24" s="2" t="s">
        <v>174</v>
      </c>
      <c r="J24" s="69" t="s">
        <v>72</v>
      </c>
      <c r="K24" s="2" t="n">
        <v>0.0</v>
      </c>
      <c r="L24" s="3" t="n">
        <v>0.0</v>
      </c>
      <c r="P24" s="61" t="s">
        <v>69</v>
      </c>
      <c r="Q24" s="27" t="str">
        <f>$F$38</f>
        <v>CENA DET. [€] brutto=67.01,DOPŁATA DET. [€] brutto=10.77</v>
      </c>
      <c r="R24" s="57" t="s">
        <v>156</v>
      </c>
      <c r="S24" s="3" t="s">
        <v>138</v>
      </c>
      <c r="T24" s="57" t="s">
        <v>162</v>
      </c>
      <c r="U24" s="3" t="s">
        <v>138</v>
      </c>
      <c r="AI24" s="37">
        <v>2833</v>
      </c>
      <c r="AJ24" s="36" t="s">
        <v>199</v>
      </c>
      <c r="AK24" s="2">
        <v>2833</v>
      </c>
      <c r="AL24" s="2"/>
    </row>
    <row r="25" spans="1:61" ht="15.75" thickBot="1">
      <c r="E25" s="57" t="s">
        <v>14</v>
      </c>
      <c r="F25" s="2" t="n">
        <v>3.07</v>
      </c>
      <c r="G25" s="2" t="s">
        <v>174</v>
      </c>
      <c r="H25" s="2" t="s">
        <v>174</v>
      </c>
      <c r="I25" s="2" t="s">
        <v>174</v>
      </c>
      <c r="J25" s="69" t="s">
        <v>136</v>
      </c>
      <c r="K25" s="2" t="n">
        <v>1.0</v>
      </c>
      <c r="L25" s="3" t="n">
        <v>0.0</v>
      </c>
      <c r="P25" s="64" t="s">
        <v>70</v>
      </c>
      <c r="Q25" s="30" t="str">
        <f>$F$39</f>
        <v>&lt;NULL&gt;</v>
      </c>
      <c r="R25" s="57" t="s">
        <v>162</v>
      </c>
      <c r="S25" s="3" t="s">
        <v>138</v>
      </c>
      <c r="T25" s="57" t="s">
        <v>145</v>
      </c>
      <c r="U25" s="3" t="str">
        <f>"T"</f>
        <v>T</v>
      </c>
      <c r="AI25" s="37">
        <v>2844</v>
      </c>
      <c r="AJ25" s="37" t="s">
        <v>199</v>
      </c>
      <c r="AK25" s="2">
        <v>2844</v>
      </c>
      <c r="AL25" s="2"/>
    </row>
    <row r="26" spans="1:61">
      <c r="E26" s="72" t="s">
        <v>73</v>
      </c>
      <c r="F26" s="2"/>
      <c r="G26" s="2"/>
      <c r="H26" s="2"/>
      <c r="I26" s="2"/>
      <c r="J26" s="69"/>
      <c r="K26" s="2"/>
      <c r="L26" s="3"/>
      <c r="P26" s="65" t="s">
        <v>202</v>
      </c>
      <c r="Q26" t="str">
        <f>IF(ISERROR(FIND("#",$I$6,1)),"-",MID($I$6,FIND("#",$I$6,1)+1,20))</f>
        <v>-</v>
      </c>
      <c r="R26" s="57" t="s">
        <v>158</v>
      </c>
      <c r="S26" s="3" t="s">
        <v>138</v>
      </c>
      <c r="AI26" s="37">
        <v>2834</v>
      </c>
      <c r="AJ26" s="36" t="s">
        <v>199</v>
      </c>
      <c r="AK26" s="2">
        <v>2834</v>
      </c>
      <c r="AL26" s="2"/>
    </row>
    <row r="27" spans="1:61">
      <c r="E27" s="72" t="s">
        <v>74</v>
      </c>
      <c r="F27" s="2"/>
      <c r="G27" s="2"/>
      <c r="H27" s="2"/>
      <c r="I27" s="2"/>
      <c r="J27" s="69"/>
      <c r="K27" s="2"/>
      <c r="L27" s="3"/>
      <c r="R27" s="57" t="s">
        <v>145</v>
      </c>
      <c r="S27" s="3" t="str">
        <f>"T"</f>
        <v>T</v>
      </c>
      <c r="AI27" s="37">
        <v>2863</v>
      </c>
      <c r="AJ27" s="36" t="s">
        <v>201</v>
      </c>
      <c r="AK27" s="2">
        <v>2863</v>
      </c>
      <c r="AL27" s="2"/>
    </row>
    <row r="28" spans="1:61">
      <c r="E28" s="73" t="s">
        <v>15</v>
      </c>
      <c r="F28" s="5" t="n">
        <v>67.01</v>
      </c>
      <c r="G28" s="2" t="s">
        <v>174</v>
      </c>
      <c r="H28" s="2" t="s">
        <v>174</v>
      </c>
      <c r="I28" s="2" t="s">
        <v>174</v>
      </c>
      <c r="J28" s="69" t="s">
        <v>85</v>
      </c>
      <c r="K28" s="2" t="n">
        <v>1.0</v>
      </c>
      <c r="L28" s="3" t="n">
        <v>0.0</v>
      </c>
      <c r="AI28" s="37">
        <v>2507</v>
      </c>
      <c r="AJ28" s="36" t="s">
        <v>201</v>
      </c>
      <c r="AK28" s="2">
        <v>2507</v>
      </c>
      <c r="AL28" s="2"/>
    </row>
    <row r="29" spans="1:61">
      <c r="E29" s="73" t="s">
        <v>16</v>
      </c>
      <c r="F29" s="5" t="n">
        <v>10.77</v>
      </c>
      <c r="G29" s="2" t="s">
        <v>174</v>
      </c>
      <c r="H29" s="2" t="s">
        <v>174</v>
      </c>
      <c r="I29" s="2" t="s">
        <v>174</v>
      </c>
      <c r="J29" s="69" t="s">
        <v>86</v>
      </c>
      <c r="K29" s="2" t="n">
        <v>1.0</v>
      </c>
      <c r="L29" s="3" t="n">
        <v>0.0</v>
      </c>
      <c r="AI29" s="37">
        <v>2854</v>
      </c>
      <c r="AJ29" s="36" t="s">
        <v>201</v>
      </c>
      <c r="AK29" s="2">
        <v>2854</v>
      </c>
      <c r="AL29" s="2"/>
    </row>
    <row r="30" spans="1:61">
      <c r="E30" s="73" t="s">
        <v>17</v>
      </c>
      <c r="F30" s="5" t="n">
        <v>0.0</v>
      </c>
      <c r="G30" s="2" t="s">
        <v>174</v>
      </c>
      <c r="H30" s="2" t="s">
        <v>174</v>
      </c>
      <c r="I30" s="2" t="s">
        <v>174</v>
      </c>
      <c r="J30" s="69" t="s">
        <v>397</v>
      </c>
      <c r="K30" s="2" t="n">
        <v>0.0</v>
      </c>
      <c r="L30" s="3" t="n">
        <v>0.0</v>
      </c>
      <c r="AI30" s="37">
        <v>2574</v>
      </c>
      <c r="AJ30" s="36" t="s">
        <v>201</v>
      </c>
      <c r="AK30" s="2">
        <v>2574</v>
      </c>
      <c r="AL30" s="2"/>
    </row>
    <row r="31" spans="1:61">
      <c r="E31" s="73" t="s">
        <v>18</v>
      </c>
      <c r="F31" s="5" t="n">
        <v>77.78</v>
      </c>
      <c r="G31" s="2" t="s">
        <v>174</v>
      </c>
      <c r="H31" s="2" t="s">
        <v>174</v>
      </c>
      <c r="I31" s="2" t="s">
        <v>174</v>
      </c>
      <c r="J31" s="69" t="s">
        <v>88</v>
      </c>
      <c r="K31" s="2" t="n">
        <v>1.0</v>
      </c>
      <c r="L31" s="3" t="n">
        <v>0.0</v>
      </c>
      <c r="AI31" s="37">
        <v>2856</v>
      </c>
      <c r="AJ31" s="36" t="s">
        <v>201</v>
      </c>
      <c r="AK31" s="2">
        <v>2856</v>
      </c>
      <c r="AL31" s="2"/>
    </row>
    <row r="32" spans="1:61">
      <c r="E32" s="73" t="s">
        <v>19</v>
      </c>
      <c r="F32" s="5" t="n">
        <v>77.78</v>
      </c>
      <c r="G32" s="2" t="s">
        <v>174</v>
      </c>
      <c r="H32" s="2" t="s">
        <v>174</v>
      </c>
      <c r="I32" s="2" t="s">
        <v>174</v>
      </c>
      <c r="J32" s="69" t="s">
        <v>89</v>
      </c>
      <c r="K32" s="2" t="n">
        <v>1.0</v>
      </c>
      <c r="L32" s="3" t="n">
        <v>0.0</v>
      </c>
      <c r="AI32" s="37">
        <v>2857</v>
      </c>
      <c r="AJ32" s="36" t="s">
        <v>201</v>
      </c>
      <c r="AK32" s="2">
        <v>2857</v>
      </c>
      <c r="AL32" s="2"/>
    </row>
    <row r="33" spans="5:38">
      <c r="E33" s="73" t="s">
        <v>20</v>
      </c>
      <c r="F33" s="2" t="n">
        <v>0.0</v>
      </c>
      <c r="G33" s="2" t="s">
        <v>174</v>
      </c>
      <c r="H33" s="2" t="s">
        <v>174</v>
      </c>
      <c r="I33" s="2" t="s">
        <v>174</v>
      </c>
      <c r="J33" s="69" t="s">
        <v>90</v>
      </c>
      <c r="K33" s="2" t="n">
        <v>0.0</v>
      </c>
      <c r="L33" s="3" t="n">
        <v>0.0</v>
      </c>
      <c r="AI33" s="33">
        <v>3531</v>
      </c>
      <c r="AJ33" s="33" t="s">
        <v>198</v>
      </c>
      <c r="AK33" s="2">
        <v>3531</v>
      </c>
      <c r="AL33" s="2"/>
    </row>
    <row r="34" spans="5:38">
      <c r="E34" s="73" t="s">
        <v>21</v>
      </c>
      <c r="F34" s="2" t="n">
        <v>0.0</v>
      </c>
      <c r="G34" s="2" t="s">
        <v>174</v>
      </c>
      <c r="H34" s="2" t="s">
        <v>174</v>
      </c>
      <c r="I34" s="2" t="s">
        <v>174</v>
      </c>
      <c r="J34" s="69" t="s">
        <v>91</v>
      </c>
      <c r="K34" s="2" t="n">
        <v>0.0</v>
      </c>
      <c r="L34" s="3" t="n">
        <v>0.0</v>
      </c>
      <c r="AI34" s="33">
        <v>3532</v>
      </c>
      <c r="AJ34" s="33" t="s">
        <v>198</v>
      </c>
      <c r="AK34" s="2">
        <v>3532</v>
      </c>
      <c r="AL34" s="2"/>
    </row>
    <row r="35" spans="5:38">
      <c r="E35" s="73" t="s">
        <v>22</v>
      </c>
      <c r="F35" s="22" t="n">
        <v>77.78</v>
      </c>
      <c r="G35" s="2" t="s">
        <v>174</v>
      </c>
      <c r="H35" s="2" t="s">
        <v>174</v>
      </c>
      <c r="I35" s="2" t="s">
        <v>174</v>
      </c>
      <c r="J35" s="69" t="s">
        <v>92</v>
      </c>
      <c r="K35" s="2" t="n">
        <v>0.0</v>
      </c>
      <c r="L35" s="3" t="n">
        <v>0.0</v>
      </c>
      <c r="AI35" s="33">
        <v>3533</v>
      </c>
      <c r="AJ35" s="33" t="s">
        <v>198</v>
      </c>
      <c r="AK35" s="2">
        <v>3533</v>
      </c>
      <c r="AL35" s="2"/>
    </row>
    <row r="36" spans="5:38">
      <c r="E36" s="57" t="s">
        <v>23</v>
      </c>
      <c r="F36" s="55" t="n">
        <v>77.78</v>
      </c>
      <c r="G36" s="55" t="s">
        <v>174</v>
      </c>
      <c r="H36" s="2" t="s">
        <v>174</v>
      </c>
      <c r="I36" s="2" t="s">
        <v>174</v>
      </c>
      <c r="J36" s="69" t="s">
        <v>93</v>
      </c>
      <c r="K36" s="2" t="n">
        <v>0.0</v>
      </c>
      <c r="L36" s="3" t="n">
        <v>0.0</v>
      </c>
      <c r="AI36" s="33">
        <v>3534</v>
      </c>
      <c r="AJ36" s="33" t="s">
        <v>198</v>
      </c>
      <c r="AK36" s="2">
        <v>3534</v>
      </c>
      <c r="AL36" s="2"/>
    </row>
    <row r="37" spans="5:38">
      <c r="E37" s="57" t="s">
        <v>75</v>
      </c>
      <c r="F37" s="55" t="s">
        <v>401</v>
      </c>
      <c r="G37" s="55" t="s">
        <v>174</v>
      </c>
      <c r="H37" s="2" t="s">
        <v>174</v>
      </c>
      <c r="I37" s="2" t="s">
        <v>174</v>
      </c>
      <c r="J37" s="69" t="s">
        <v>75</v>
      </c>
      <c r="K37" s="2" t="n">
        <v>0.0</v>
      </c>
      <c r="L37" s="3" t="n">
        <v>0.0</v>
      </c>
      <c r="AI37" s="33">
        <v>3535</v>
      </c>
      <c r="AJ37" s="33" t="s">
        <v>198</v>
      </c>
      <c r="AK37" s="2">
        <v>3535</v>
      </c>
      <c r="AL37" s="2"/>
    </row>
    <row r="38" spans="5:38">
      <c r="E38" s="57" t="s">
        <v>384</v>
      </c>
      <c r="F38" s="2" t="s">
        <v>400</v>
      </c>
      <c r="G38" s="2" t="s">
        <v>174</v>
      </c>
      <c r="H38" s="2" t="s">
        <v>174</v>
      </c>
      <c r="I38" s="2" t="s">
        <v>174</v>
      </c>
      <c r="J38" s="69" t="s">
        <v>384</v>
      </c>
      <c r="K38" s="2" t="n">
        <v>0.0</v>
      </c>
      <c r="L38" s="3" t="n">
        <v>0.0</v>
      </c>
      <c r="AI38" s="33">
        <v>3536</v>
      </c>
      <c r="AJ38" s="33" t="s">
        <v>198</v>
      </c>
      <c r="AK38" s="2">
        <v>3536</v>
      </c>
      <c r="AL38" s="2"/>
    </row>
    <row r="39" spans="5:38" ht="15.75" thickBot="1">
      <c r="E39" s="67" t="s">
        <v>385</v>
      </c>
      <c r="F39" s="11" t="s">
        <v>174</v>
      </c>
      <c r="G39" s="11" t="s">
        <v>174</v>
      </c>
      <c r="H39" s="11" t="s">
        <v>174</v>
      </c>
      <c r="I39" s="11" t="s">
        <v>174</v>
      </c>
      <c r="J39" s="70" t="s">
        <v>385</v>
      </c>
      <c r="K39" s="11" t="n">
        <v>0.0</v>
      </c>
      <c r="L39" s="4" t="n">
        <v>0.0</v>
      </c>
      <c r="AI39" s="33">
        <v>3537</v>
      </c>
      <c r="AJ39" s="33" t="s">
        <v>198</v>
      </c>
      <c r="AK39" s="2">
        <v>3537</v>
      </c>
      <c r="AL39" s="2"/>
    </row>
    <row r="40" spans="5:38">
      <c r="E40"/>
      <c r="AI40" s="37">
        <v>2637</v>
      </c>
      <c r="AJ40" s="36" t="s">
        <v>198</v>
      </c>
      <c r="AK40" s="2">
        <v>2637</v>
      </c>
      <c r="AL40" s="2"/>
    </row>
    <row r="41" spans="5:38">
      <c r="AI41" s="37">
        <v>2641</v>
      </c>
      <c r="AJ41" s="36" t="s">
        <v>198</v>
      </c>
      <c r="AK41" s="2">
        <v>2641</v>
      </c>
      <c r="AL41" s="2"/>
    </row>
  </sheetData>
  <phoneticPr fontId="127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2026-01-30T16:25:32Z</dcterms:modified>
</cp:coreProperties>
</file>